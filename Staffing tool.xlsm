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emens-my.sharepoint.com/personal/tomas_ramos_sanchez_siemens_com/Documents/Documents/Test/Excel/"/>
    </mc:Choice>
  </mc:AlternateContent>
  <xr:revisionPtr revIDLastSave="155" documentId="8_{889A6E9B-172E-450D-B7BD-F4B7D0819274}" xr6:coauthVersionLast="47" xr6:coauthVersionMax="47" xr10:uidLastSave="{5F2F3818-8BFF-4E85-B21E-7AD63ED39E69}"/>
  <workbookProtection workbookAlgorithmName="SHA-512" workbookHashValue="b4DapU/Iaq4jmwx3vJjQl2IFn7NwELfsXyGiLX9Os7SnVuVNqohTZ0qc6pfJ78513kILPGcPdjdtCVc6zTJpdw==" workbookSaltValue="ydjiQABNHkionH3j9JfXoA==" workbookSpinCount="100000" lockStructure="1"/>
  <bookViews>
    <workbookView xWindow="-120" yWindow="-120" windowWidth="29040" windowHeight="15720" xr2:uid="{00000000-000D-0000-FFFF-FFFF00000000}"/>
  </bookViews>
  <sheets>
    <sheet name="Year view" sheetId="18" r:id="rId1"/>
    <sheet name="Project view" sheetId="17" r:id="rId2"/>
    <sheet name="Personnel view" sheetId="19" r:id="rId3"/>
    <sheet name="Project List" sheetId="2" r:id="rId4"/>
    <sheet name="Personnel updates" sheetId="14" r:id="rId5"/>
    <sheet name="Error checks" sheetId="12" state="hidden" r:id="rId6"/>
    <sheet name="Database" sheetId="4" state="hidden" r:id="rId7"/>
    <sheet name="Personnel List" sheetId="3" state="hidden" r:id="rId8"/>
    <sheet name="Personnel Work Regime" sheetId="13" state="hidden" r:id="rId9"/>
    <sheet name="AvailablePMs" sheetId="16" state="hidden" r:id="rId10"/>
  </sheets>
  <definedNames>
    <definedName name="_xleta.CHOOSE" hidden="1" xlm="1">#NAME?</definedName>
    <definedName name="_xleta.FILTER" hidden="1" xlm="1">#NAME?</definedName>
    <definedName name="_xleta.IF" hidden="1" xlm="1">#NAME?</definedName>
    <definedName name="_xleta.IFERROR" hidden="1" xlm="1">#NAME?</definedName>
    <definedName name="_xleta.INDEX" hidden="1" xlm="1">#NAME?</definedName>
    <definedName name="_xleta.INT" hidden="1" xlm="1">#NAME?</definedName>
    <definedName name="_xleta.MATCH" hidden="1" xlm="1">#NAME?</definedName>
    <definedName name="_xleta.MIN" hidden="1" xlm="1">#NAME?</definedName>
    <definedName name="_xleta.NA" hidden="1" xlm="1">#NAME?</definedName>
    <definedName name="_xleta.NOW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_xlpm._yearstart_final" hidden="1" xlm="1">#NAME?</definedName>
    <definedName name="_xlpm.a" hidden="1" xlm="1">#NAME?</definedName>
    <definedName name="_xlpm.a_" hidden="1" xlm="1">#NAME?</definedName>
    <definedName name="_xlpm.a_i" hidden="1" xlm="1">#NAME?</definedName>
    <definedName name="_xlpm.a_in" hidden="1" xlm="1">#NAME?</definedName>
    <definedName name="_xlpm.a_int" hidden="1" xlm="1">#NAME?</definedName>
    <definedName name="_xlpm.accCol1" hidden="1" xlm="1">#NAME?</definedName>
    <definedName name="_xlpm.accCol2" hidden="1" xlm="1">#NAME?</definedName>
    <definedName name="_xlpm.ACell" hidden="1" xlm="1">#NAME?</definedName>
    <definedName name="_xlpm.APrevCell" hidden="1" xlm="1">#NAME?</definedName>
    <definedName name="_xlpm.b" hidden="1" xlm="1">#NAME?</definedName>
    <definedName name="_xlpm.BCell" hidden="1" xlm="1">#NAME?</definedName>
    <definedName name="_xlpm.BPrevCell" hidden="1" xlm="1">#NAME?</definedName>
    <definedName name="_xlpm.col" hidden="1" xlm="1">#NAME?</definedName>
    <definedName name="_xlpm.colIdx" hidden="1" xlm="1">#NAME?</definedName>
    <definedName name="_xlpm.colIndex" hidden="1" xlm="1">#NAME?</definedName>
    <definedName name="_xlpm.currentCY" hidden="1" xlm="1">#NAME?</definedName>
    <definedName name="_xlpm.currentPY" hidden="1" xlm="1">#NAME?</definedName>
    <definedName name="_xlpm.date_array" hidden="1" xlm="1">#NAME?</definedName>
    <definedName name="_xlpm.defPM" hidden="1" xlm="1">#NAME?</definedName>
    <definedName name="_xlpm.eligible_end" hidden="1" xlm="1">#NAME?</definedName>
    <definedName name="_xlpm.eligible_end_int" hidden="1" xlm="1">#NAME?</definedName>
    <definedName name="_xlpm.eligible_start" hidden="1" xlm="1">#NAME?</definedName>
    <definedName name="_xlpm.firstYearMonths" hidden="1" xlm="1">#NAME?</definedName>
    <definedName name="_xlpm.firstYearMonthsCalc" hidden="1" xlm="1">#NAME?</definedName>
    <definedName name="_xlpm.m" hidden="1" xlm="1">#NAME?</definedName>
    <definedName name="_xlpm.ma" hidden="1" xlm="1">#NAME?</definedName>
    <definedName name="_xlpm.match_index" hidden="1" xlm="1">#NAME?</definedName>
    <definedName name="_xlpm.match_position" hidden="1" xlm="1">#NAME?</definedName>
    <definedName name="_xlpm.max" hidden="1" xlm="1">#NAME?</definedName>
    <definedName name="_xlpm.maxP" hidden="1" xlm="1">#NAME?</definedName>
    <definedName name="_xlpm.maxPM" hidden="1" xlm="1">#NAME?</definedName>
    <definedName name="_xlpm.mo" hidden="1" xlm="1">#NAME?</definedName>
    <definedName name="_xlpm.mon" hidden="1" xlm="1">#NAME?</definedName>
    <definedName name="_xlpm.mont" hidden="1" xlm="1">#NAME?</definedName>
    <definedName name="_xlpm.month" hidden="1" xlm="1">#NAME?</definedName>
    <definedName name="_xlpm.month_" hidden="1" xlm="1">#NAME?</definedName>
    <definedName name="_xlpm.month_a" hidden="1" xlm="1">#NAME?</definedName>
    <definedName name="_xlpm.month_ar" hidden="1" xlm="1">#NAME?</definedName>
    <definedName name="_xlpm.month_arr" hidden="1" xlm="1">#NAME?</definedName>
    <definedName name="_xlpm.month_arra" hidden="1" xlm="1">#NAME?</definedName>
    <definedName name="_xlpm.month_array" hidden="1" xlm="1">#NAME?</definedName>
    <definedName name="_xlpm.month_array_of_that_year" hidden="1" xlm="1">#NAME?</definedName>
    <definedName name="_xlpm.monthly_multiplier" hidden="1" xlm="1">#NAME?</definedName>
    <definedName name="_xlpm.monthPerPY" hidden="1" xlm="1">#NAME?</definedName>
    <definedName name="_xlpm.monthPerPY1" hidden="1" xlm="1">#NAME?</definedName>
    <definedName name="_xlpm.monthPerPY2" hidden="1" xlm="1">#NAME?</definedName>
    <definedName name="_xlpm.Name" hidden="1" xlm="1">#NAME?</definedName>
    <definedName name="_xlpm.nextPYMonths" hidden="1" xlm="1">#NAME?</definedName>
    <definedName name="_xlpm.number_of_month_per_workregime" hidden="1" xlm="1">#NAME?</definedName>
    <definedName name="_xlpm.number_of_month_per_workregime_" hidden="1" xlm="1">#NAME?</definedName>
    <definedName name="_xlpm.number_of_month_per_workregime_a" hidden="1" xlm="1">#NAME?</definedName>
    <definedName name="_xlpm.number_of_month_per_workregime_ar" hidden="1" xlm="1">#NAME?</definedName>
    <definedName name="_xlpm.number_of_month_per_workregime_arr" hidden="1" xlm="1">#NAME?</definedName>
    <definedName name="_xlpm.number_of_month_per_workregime_arra" hidden="1" xlm="1">#NAME?</definedName>
    <definedName name="_xlpm.number_of_month_per_workregime_array" hidden="1" xlm="1">#NAME?</definedName>
    <definedName name="_xlpm.number_of_month_per_workregime_array_" hidden="1" xlm="1">#NAME?</definedName>
    <definedName name="_xlpm.number_of_month_per_workregime_array_m" hidden="1" xlm="1">#NAME?</definedName>
    <definedName name="_xlpm.number_of_month_per_workregime_array_mu" hidden="1" xlm="1">#NAME?</definedName>
    <definedName name="_xlpm.number_of_month_per_workregime_array_mul" hidden="1" xlm="1">#NAME?</definedName>
    <definedName name="_xlpm.number_of_month_per_workregime_array_mult" hidden="1" xlm="1">#NAME?</definedName>
    <definedName name="_xlpm.numOfMonths" hidden="1" xlm="1">#NAME?</definedName>
    <definedName name="_xlpm.P" hidden="1" xlm="1">#NAME?</definedName>
    <definedName name="_xlpm.p_array_filtered" hidden="1" xlm="1">#NAME?</definedName>
    <definedName name="_xlpm.PE" hidden="1" xlm="1">#NAME?</definedName>
    <definedName name="_xlpm.pe_array_filtered" hidden="1" xlm="1">#NAME?</definedName>
    <definedName name="_xlpm.people" hidden="1" xlm="1">#NAME?</definedName>
    <definedName name="_xlpm.PER" hidden="1" xlm="1">#NAME?</definedName>
    <definedName name="_xlpm.per_array_filtered" hidden="1" xlm="1">#NAME?</definedName>
    <definedName name="_xlpm.PERS" hidden="1" xlm="1">#NAME?</definedName>
    <definedName name="_xlpm.pers_array_filtered" hidden="1" xlm="1">#NAME?</definedName>
    <definedName name="_xlpm.PERSO" hidden="1" xlm="1">#NAME?</definedName>
    <definedName name="_xlpm.perso_array_filtered" hidden="1" xlm="1">#NAME?</definedName>
    <definedName name="_xlpm.PERSON" hidden="1" xlm="1">#NAME?</definedName>
    <definedName name="_xlpm.person_array" hidden="1" xlm="1">#NAME?</definedName>
    <definedName name="_xlpm.person_array_d_col" hidden="1" xlm="1">#NAME?</definedName>
    <definedName name="_xlpm.person_array_da_col" hidden="1" xlm="1">#NAME?</definedName>
    <definedName name="_xlpm.person_array_dat_col" hidden="1" xlm="1">#NAME?</definedName>
    <definedName name="_xlpm.person_array_date_col" hidden="1" xlm="1">#NAME?</definedName>
    <definedName name="_xlpm.person_array_filtered" hidden="1" xlm="1">#NAME?</definedName>
    <definedName name="_xlpm.person_array_of_that_year" hidden="1" xlm="1">#NAME?</definedName>
    <definedName name="_xlpm.person_array_sorted" hidden="1" xlm="1">#NAME?</definedName>
    <definedName name="_xlpm.person_array_WR" hidden="1" xlm="1">#NAME?</definedName>
    <definedName name="_xlpm.person_array_year_col" hidden="1" xlm="1">#NAME?</definedName>
    <definedName name="_xlpm.person_arrayyear_col" hidden="1" xlm="1">#NAME?</definedName>
    <definedName name="_xlpm.person_years" hidden="1" xlm="1">#NAME?</definedName>
    <definedName name="_xlpm.personIdx" hidden="1" xlm="1">#NAME?</definedName>
    <definedName name="_xlpm.personYearCalc" hidden="1" xlm="1">#NAME?</definedName>
    <definedName name="_xlpm.PM_per_year" hidden="1" xlm="1">#NAME?</definedName>
    <definedName name="_xlpm.PM_per_year_workregime" hidden="1" xlm="1">#NAME?</definedName>
    <definedName name="_xlpm.PM_Value" hidden="1" xlm="1">#NAME?</definedName>
    <definedName name="_xlpm.PMalreadyinDB" hidden="1" xlm="1">#NAME?</definedName>
    <definedName name="_xlpm.PMavailable" hidden="1" xlm="1">#NAME?</definedName>
    <definedName name="_xlpm.PMof1" hidden="1" xlm="1">#NAME?</definedName>
    <definedName name="_xlpm.PMofC1" hidden="1" xlm="1">#NAME?</definedName>
    <definedName name="_xlpm.PMofCY1" hidden="1" xlm="1">#NAME?</definedName>
    <definedName name="_xlpm.PMofCY2" hidden="1" xlm="1">#NAME?</definedName>
    <definedName name="_xlpm.PMofP1" hidden="1" xlm="1">#NAME?</definedName>
    <definedName name="_xlpm.PMofPC1" hidden="1" xlm="1">#NAME?</definedName>
    <definedName name="_xlpm.PMofPY1" hidden="1" xlm="1">#NAME?</definedName>
    <definedName name="_xlpm.PMofPY2" hidden="1" xlm="1">#NAME?</definedName>
    <definedName name="_xlpm.PMofY2" hidden="1" xlm="1">#NAME?</definedName>
    <definedName name="_xlpm.PMperCY" hidden="1" xlm="1">#NAME?</definedName>
    <definedName name="_xlpm.PMperCYCalc" hidden="1" xlm="1">#NAME?</definedName>
    <definedName name="_xlpm.PMperP" hidden="1" xlm="1">#NAME?</definedName>
    <definedName name="_xlpm.PMperPY" hidden="1" xlm="1">#NAME?</definedName>
    <definedName name="_xlpm.PMV" hidden="1" xlm="1">#NAME?</definedName>
    <definedName name="_xlpm.PMVa" hidden="1" xlm="1">#NAME?</definedName>
    <definedName name="_xlpm.PMVal" hidden="1" xlm="1">#NAME?</definedName>
    <definedName name="_xlpm.PMValu" hidden="1" xlm="1">#NAME?</definedName>
    <definedName name="_xlpm.PMValue" hidden="1" xlm="1">#NAME?</definedName>
    <definedName name="_xlpm.PMValues" hidden="1" xlm="1">#NAME?</definedName>
    <definedName name="_xlpm.position" hidden="1" xlm="1">#NAME?</definedName>
    <definedName name="_xlpm.previousPMonths" hidden="1" xlm="1">#NAME?</definedName>
    <definedName name="_xlpm.previousPYMonths" hidden="1" xlm="1">#NAME?</definedName>
    <definedName name="_xlpm.previousYearMonths" hidden="1" xlm="1">#NAME?</definedName>
    <definedName name="_xlpm.process_p" hidden="1" xlm="1">#NAME?</definedName>
    <definedName name="_xlpm.process_pe" hidden="1" xlm="1">#NAME?</definedName>
    <definedName name="_xlpm.process_per" hidden="1" xlm="1">#NAME?</definedName>
    <definedName name="_xlpm.process_pers" hidden="1" xlm="1">#NAME?</definedName>
    <definedName name="_xlpm.process_perso" hidden="1" xlm="1">#NAME?</definedName>
    <definedName name="_xlpm.process_person" hidden="1" xlm="1">#NAME?</definedName>
    <definedName name="_xlpm.process_person_year" hidden="1" xlm="1">#NAME?</definedName>
    <definedName name="_xlpm.process_personn" hidden="1" xlm="1">#NAME?</definedName>
    <definedName name="_xlpm.process_personne" hidden="1" xlm="1">#NAME?</definedName>
    <definedName name="_xlpm.process_personnel" hidden="1" xlm="1">#NAME?</definedName>
    <definedName name="_xlpm.process_single_year" hidden="1" xlm="1">#NAME?</definedName>
    <definedName name="_xlpm.process_year" hidden="1" xlm="1">#NAME?</definedName>
    <definedName name="_xlpm.process_year_for_person" hidden="1" xlm="1">#NAME?</definedName>
    <definedName name="_xlpm.pyCol1" hidden="1" xlm="1">#NAME?</definedName>
    <definedName name="_xlpm.pyCol2" hidden="1" xlm="1">#NAME?</definedName>
    <definedName name="_xlpm.regime_array" hidden="1" xlm="1">#NAME?</definedName>
    <definedName name="_xlpm.regime_value" hidden="1" xlm="1">#NAME?</definedName>
    <definedName name="_xlpm.res" hidden="1" xlm="1">#NAME?</definedName>
    <definedName name="_xlpm.result" hidden="1" xlm="1">#NAME?</definedName>
    <definedName name="_xlpm.Row" hidden="1" xlm="1">#NAME?</definedName>
    <definedName name="_xlpm.rowIdx" hidden="1" xlm="1">#NAME?</definedName>
    <definedName name="_xlpm.rowIndex" hidden="1" xlm="1">#NAME?</definedName>
    <definedName name="_xlpm.s" hidden="1" xlm="1">#NAME?</definedName>
    <definedName name="_xlpm.sorted_array" hidden="1" xlm="1">#NAME?</definedName>
    <definedName name="_xlpm.sorted_array_filtered" hidden="1" xlm="1">#NAME?</definedName>
    <definedName name="_xlpm.start_value" hidden="1" xlm="1">#NAME?</definedName>
    <definedName name="_xlpm.t" hidden="1" xlm="1">#NAME?</definedName>
    <definedName name="_xlpm.totPM" hidden="1" xlm="1">#NAME?</definedName>
    <definedName name="_xlpm.value_mult" hidden="1" xlm="1">#NAME?</definedName>
    <definedName name="_xlpm.W" hidden="1" xlm="1">#NAME?</definedName>
    <definedName name="_xlpm.W_yearstart_final" hidden="1" xlm="1">#NAME?</definedName>
    <definedName name="_xlpm.wo_yearstart_final" hidden="1" xlm="1">#NAME?</definedName>
    <definedName name="_xlpm.wor_yearstart_final" hidden="1" xlm="1">#NAME?</definedName>
    <definedName name="_xlpm.work__yearstart_final" hidden="1" xlm="1">#NAME?</definedName>
    <definedName name="_xlpm.work_r_yearstart_final" hidden="1" xlm="1">#NAME?</definedName>
    <definedName name="_xlpm.work_re_yearstart_final" hidden="1" xlm="1">#NAME?</definedName>
    <definedName name="_xlpm.work_reg_yearstart_final" hidden="1" xlm="1">#NAME?</definedName>
    <definedName name="_xlpm.work_regi_yearstart_final" hidden="1" xlm="1">#NAME?</definedName>
    <definedName name="_xlpm.work_regim_yearstart_final" hidden="1" xlm="1">#NAME?</definedName>
    <definedName name="_xlpm.work_regime_yearstart_final" hidden="1" xlm="1">#NAME?</definedName>
    <definedName name="_xlpm.work_yearstart_final" hidden="1" xlm="1">#NAME?</definedName>
    <definedName name="_xlpm.workr_yearstart_final" hidden="1" xlm="1">#NAME?</definedName>
    <definedName name="_xlpm.workre_yearstart_final" hidden="1" xlm="1">#NAME?</definedName>
    <definedName name="_xlpm.workreg_yearstart_final" hidden="1" xlm="1">#NAME?</definedName>
    <definedName name="_xlpm.workregi_yearstart_final" hidden="1" xlm="1">#NAME?</definedName>
    <definedName name="_xlpm.workregim_yearstart_final" hidden="1" xlm="1">#NAME?</definedName>
    <definedName name="_xlpm.workregime_array_mult" hidden="1" xlm="1">#NAME?</definedName>
    <definedName name="_xlpm.workregime_array_of_that_year" hidden="1" xlm="1">#NAME?</definedName>
    <definedName name="_xlpm.workregime_at_start_year" hidden="1" xlm="1">#NAME?</definedName>
    <definedName name="_xlpm.workregime_yearstart" hidden="1" xlm="1">#NAME?</definedName>
    <definedName name="_xlpm.workregime_yearstart_final" hidden="1" xlm="1">#NAME?</definedName>
    <definedName name="_xlpm.WR" hidden="1" xlm="1">#NAME?</definedName>
    <definedName name="_xlpm.WR_" hidden="1" xlm="1">#NAME?</definedName>
    <definedName name="_xlpm.WR_S" hidden="1" xlm="1">#NAME?</definedName>
    <definedName name="_xlpm.WR_st" hidden="1" xlm="1">#NAME?</definedName>
    <definedName name="_xlpm.WR_sta" hidden="1" xlm="1">#NAME?</definedName>
    <definedName name="_xlpm.WR_star" hidden="1" xlm="1">#NAME?</definedName>
    <definedName name="_xlpm.WR_start" hidden="1" xlm="1">#NAME?</definedName>
    <definedName name="_xlpm.WR_start_" hidden="1" xlm="1">#NAME?</definedName>
    <definedName name="_xlpm.WR_start_r" hidden="1" xlm="1">#NAME?</definedName>
    <definedName name="_xlpm.WR_y" hidden="1" xlm="1">#NAME?</definedName>
    <definedName name="_xlpm.WR_ye" hidden="1" xlm="1">#NAME?</definedName>
    <definedName name="_xlpm.WR_yea" hidden="1" xlm="1">#NAME?</definedName>
    <definedName name="_xlpm.WR_year" hidden="1" xlm="1">#NAME?</definedName>
    <definedName name="_xlpm.WR_years" hidden="1" xlm="1">#NAME?</definedName>
    <definedName name="_xlpm.WR_yearst" hidden="1" xlm="1">#NAME?</definedName>
    <definedName name="_xlpm.WR_yearsta" hidden="1" xlm="1">#NAME?</definedName>
    <definedName name="_xlpm.WR_yearstar" hidden="1" xlm="1">#NAME?</definedName>
    <definedName name="_xlpm.WR_yearstart" hidden="1" xlm="1">#NAME?</definedName>
    <definedName name="_xlpm.WR_yearstart_" hidden="1" xlm="1">#NAME?</definedName>
    <definedName name="_xlpm.WR_yearstart_f" hidden="1" xlm="1">#NAME?</definedName>
    <definedName name="_xlpm.WR_yearstart_fi" hidden="1" xlm="1">#NAME?</definedName>
    <definedName name="_xlpm.WR_yearstart_fin" hidden="1" xlm="1">#NAME?</definedName>
    <definedName name="_xlpm.WR_yearstart_fina" hidden="1" xlm="1">#NAME?</definedName>
    <definedName name="_xlpm.WR_yearstart_final" hidden="1" xlm="1">#NAME?</definedName>
    <definedName name="_xlpm.WR_yearstart_i" hidden="1" xlm="1">#NAME?</definedName>
    <definedName name="_xlpm.WR_yearstart_if" hidden="1" xlm="1">#NAME?</definedName>
    <definedName name="_xlpm.WR_yearstart_ifa" hidden="1" xlm="1">#NAME?</definedName>
    <definedName name="_xlpm.WR_yearstart_ifaf" hidden="1" xlm="1">#NAME?</definedName>
    <definedName name="_xlpm.WR_yearstart_ifaft" hidden="1" xlm="1">#NAME?</definedName>
    <definedName name="_xlpm.WR_yearstart_ifafte" hidden="1" xlm="1">#NAME?</definedName>
    <definedName name="_xlpm.WR_yearstart_ifafter" hidden="1" xlm="1">#NAME?</definedName>
    <definedName name="_xlpm.WR_yearstart_in" hidden="1" xlm="1">#NAME?</definedName>
    <definedName name="_xlpm.WR_yearstart_int" hidden="1" xlm="1">#NAME?</definedName>
    <definedName name="_xlpm.WR_yearstart_int2" hidden="1" xlm="1">#NAME?</definedName>
    <definedName name="_xlpm.WR_yearstart_no_previous_years" hidden="1" xlm="1">#NAME?</definedName>
    <definedName name="_xlpm.WR_yearstart_previous__years" hidden="1" xlm="1">#NAME?</definedName>
    <definedName name="_xlpm.WR_yearstart_previous_a_years" hidden="1" xlm="1">#NAME?</definedName>
    <definedName name="_xlpm.WR_yearstart_previous_an_years" hidden="1" xlm="1">#NAME?</definedName>
    <definedName name="_xlpm.WR_yearstart_previous_and__years" hidden="1" xlm="1">#NAME?</definedName>
    <definedName name="_xlpm.WR_yearstart_previous_and_c_years" hidden="1" xlm="1">#NAME?</definedName>
    <definedName name="_xlpm.WR_yearstart_previous_and_cu_years" hidden="1" xlm="1">#NAME?</definedName>
    <definedName name="_xlpm.WR_yearstart_previous_and_cur_years" hidden="1" xlm="1">#NAME?</definedName>
    <definedName name="_xlpm.WR_yearstart_previous_and_curr_years" hidden="1" xlm="1">#NAME?</definedName>
    <definedName name="_xlpm.WR_yearstart_previous_and_curre_years" hidden="1" xlm="1">#NAME?</definedName>
    <definedName name="_xlpm.WR_yearstart_previous_and_curren_years" hidden="1" xlm="1">#NAME?</definedName>
    <definedName name="_xlpm.WR_yearstart_previous_and_current_years" hidden="1" xlm="1">#NAME?</definedName>
    <definedName name="_xlpm.WR_yearstart_previous_and_years" hidden="1" xlm="1">#NAME?</definedName>
    <definedName name="_xlpm.WR_yearstart_previous_but_no_current_year" hidden="1" xlm="1">#NAME?</definedName>
    <definedName name="_xlpm.WR_yearstart_previous_years" hidden="1" xlm="1">#NAME?</definedName>
    <definedName name="_xlpm.WR_yearstart_w" hidden="1" xlm="1">#NAME?</definedName>
    <definedName name="_xlpm.WR_yearstart_wi" hidden="1" xlm="1">#NAME?</definedName>
    <definedName name="_xlpm.WR_yearstart_wit" hidden="1" xlm="1">#NAME?</definedName>
    <definedName name="_xlpm.WR_yearstart_with" hidden="1" xlm="1">#NAME?</definedName>
    <definedName name="_xlpm.WR_yearstart_with_" hidden="1" xlm="1">#NAME?</definedName>
    <definedName name="_xlpm.WR_yearstart_with_p" hidden="1" xlm="1">#NAME?</definedName>
    <definedName name="_xlpm.WR_yearstart_with_pr" hidden="1" xlm="1">#NAME?</definedName>
    <definedName name="_xlpm.WR_yearstart_with_pre" hidden="1" xlm="1">#NAME?</definedName>
    <definedName name="_xlpm.WR_yearstart_with_prev" hidden="1" xlm="1">#NAME?</definedName>
    <definedName name="_xlpm.WR_yearstart_with_previ" hidden="1" xlm="1">#NAME?</definedName>
    <definedName name="_xlpm.WR_yearstart_with_previo" hidden="1" xlm="1">#NAME?</definedName>
    <definedName name="_xlpm.WR_yearstart_with_previou" hidden="1" xlm="1">#NAME?</definedName>
    <definedName name="_xlpm.WR_yearstart_with_previous" hidden="1" xlm="1">#NAME?</definedName>
    <definedName name="_xlpm.WR_yearstart_with_previous_" hidden="1" xlm="1">#NAME?</definedName>
    <definedName name="_xlpm.WR_yearstart_with_previous_y" hidden="1" xlm="1">#NAME?</definedName>
    <definedName name="_xlpm.WR_yearstart_with_previous_ye" hidden="1" xlm="1">#NAME?</definedName>
    <definedName name="_xlpm.WR_yearstart_with_previous_yea" hidden="1" xlm="1">#NAME?</definedName>
    <definedName name="_xlpm.WR_yearstart_with_previous_year" hidden="1" xlm="1">#NAME?</definedName>
    <definedName name="_xlpm.WR_yearstart_with_previous_years" hidden="1" xlm="1">#NAME?</definedName>
    <definedName name="_xlpm.WR_yearstart_y" hidden="1" xlm="1">#NAME?</definedName>
    <definedName name="_xlpm.WR_yearstart_ye" hidden="1" xlm="1">#NAME?</definedName>
    <definedName name="_xlpm.WR_yearstart_yea" hidden="1" xlm="1">#NAME?</definedName>
    <definedName name="_xlpm.WR_yearstart_year" hidden="1" xlm="1">#NAME?</definedName>
    <definedName name="_xlpm.WR_yearstart_yeara" hidden="1" xlm="1">#NAME?</definedName>
    <definedName name="_xlpm.WR_yearstart_yearaf" hidden="1" xlm="1">#NAME?</definedName>
    <definedName name="_xlpm.WR_yearstart_yearaft" hidden="1" xlm="1">#NAME?</definedName>
    <definedName name="_xlpm.WR_yearstart_yearafte" hidden="1" xlm="1">#NAME?</definedName>
    <definedName name="_xlpm.WR_yearstart_yearafter" hidden="1" xlm="1">#NAME?</definedName>
    <definedName name="_xlpm.WR_yearstart_yearsafter" hidden="1" xlm="1">#NAME?</definedName>
    <definedName name="_xlpm.WR_yearstart1" hidden="1" xlm="1">#NAME?</definedName>
    <definedName name="_xlpm.WR_yearstart2" hidden="1" xlm="1">#NAME?</definedName>
    <definedName name="_xlpm.year" hidden="1" xlm="1">#NAME?</definedName>
    <definedName name="_xlpm.year_col" hidden="1" xlm="1">#NAME?</definedName>
    <definedName name="_xlpm.year_end" hidden="1" xlm="1">#NAME?</definedName>
    <definedName name="_xlpm.year_entries" hidden="1" xlm="1">#NAME?</definedName>
    <definedName name="_xlpm.year_start" hidden="1" xlm="1">#NAME?</definedName>
    <definedName name="_xlpm.yearIdx" hidden="1" xlm="1">#NAME?</definedName>
    <definedName name="_xlpm.years" hidden="1" xlm="1">#NAME?</definedName>
    <definedName name="_xlpm.years_array" hidden="1" xlm="1">#NAME?</definedName>
    <definedName name="_xlpm.YEARVAL" hidden="1" xlm="1">#NAME?</definedName>
    <definedName name="PersonnelListDropDown" localSheetId="2">PersonnelList[Name]</definedName>
    <definedName name="PersonnelListDropDown" localSheetId="1">PersonnelList[Name]</definedName>
    <definedName name="PersonnelListDropDown" localSheetId="0">PersonnelList[Name]</definedName>
    <definedName name="PersonnelListDropDown">PersonnelList[Name]</definedName>
    <definedName name="ProjectListDropDown" localSheetId="2">ProjectList[Project]</definedName>
    <definedName name="ProjectListDropDown" localSheetId="1">ProjectList[Project]</definedName>
    <definedName name="ProjectListDropDown" localSheetId="0">ProjectList[Project]</definedName>
    <definedName name="ProjectListDropDown">ProjectList[Project]</definedName>
  </definedNames>
  <calcPr calcId="191028"/>
  <customWorkbookViews>
    <customWorkbookView name="Donders, Stijn (DI SW STS SDPRM MECH RTD) - Personal View" guid="{3FF69DA6-D6A1-40D2-8840-563630BE24EA}" mergeInterval="0" personalView="1" maximized="1" xWindow="2552" yWindow="-8" windowWidth="1936" windowHeight="1048" activeSheetId="1"/>
    <customWorkbookView name="Erdelyi, Hunor (DI SW STS SDPRM MECH RTD AM) - Personal View" guid="{E6CB14EA-812E-40CC-88CB-CDC9474A685D}" mergeInterval="0" personalView="1" maximized="1" xWindow="-16" yWindow="-16" windowWidth="3872" windowHeight="2332" activeSheetId="1"/>
    <customWorkbookView name="Vivet, Mathijs (DI SW STS SDPRM MECH RTD MXDT) - Personal View" guid="{88E7DA86-FBBC-4AD2-B7AF-3030C0AAC47C}" mergeInterval="0" personalView="1" maximized="1" xWindow="1912" yWindow="-8" windowWidth="1936" windowHeight="1056" activeSheetId="1"/>
    <customWorkbookView name="Vrancken, Lotte (DI SW STS SDPRM MECH) - Personal View" guid="{ADCC770A-31F4-45D5-9479-8AE530A646D1}" mergeInterval="0" personalView="1" maximized="1" xWindow="-8" yWindow="-8" windowWidth="1936" windowHeight="1056" activeSheetId="1"/>
    <customWorkbookView name="De Gregoriis, Daniel (DI SW STS 3D RTD1 CAE-3) - Personal View" guid="{2ED9A0D4-CD7C-4953-842E-EE42881EF3AB}" mergeInterval="0" personalView="1" maximized="1" xWindow="-8" yWindow="-8" windowWidth="1936" windowHeight="1056" activeSheetId="1"/>
    <customWorkbookView name="Farkas, Laszlo (DI SW STS SDPRM MECH RTD MAT) - Personal View" guid="{FB5A8C0B-E580-43B2-A5D6-D8D3FAAE0A60}" mergeInterval="0" personalView="1" maximized="1" xWindow="-8" yWindow="-8" windowWidth="1936" windowHeight="1056" activeSheetId="1"/>
    <customWorkbookView name="Beriot, Hadrien (DI SW STS SDPRM MECH RTD ACOU) - Personal View" guid="{58A1C789-8CC5-4A0A-8D6B-2BCB81F55E0E}" mergeInterval="0" personalView="1" maximized="1" xWindow="-8" yWindow="-8" windowWidth="1936" windowHeight="1056" activeSheetId="1"/>
    <customWorkbookView name="Grottoli, Marco (DI SW STS SDPRM MECH RTD MXDT) - Personal View" guid="{6AB25B50-5158-4A19-B85B-2BAE9E335BE1}" mergeInterval="0" personalView="1" xWindow="692" windowWidth="1868" windowHeight="1390" activeSheetId="1"/>
    <customWorkbookView name="Scurria, Leoluca (DI SW STS 3D RTD1 CAE-3) - Personal View" guid="{E4B46CB7-3994-4B57-9CA0-E3427AEC4603}" mergeInterval="0" personalView="1" maximized="1" xWindow="-8" yWindow="-8" windowWidth="1874" windowHeight="1096" tabRatio="1000" activeSheetId="1"/>
    <customWorkbookView name="Tamarozzi, Tommaso (DI SW STS 3D RTD1 CAE-3) - Personal View" guid="{975E12A2-1DA8-465B-B219-92724DE0845A}" mergeInterval="0" personalView="1" maximized="1" xWindow="-1928" yWindow="-8" windowWidth="1936" windowHeight="1056" activeSheetId="1"/>
    <customWorkbookView name="Carrella, Delphine (DF PL STS 3D RTD1 RTD1B) - Personal View" guid="{6F1B91F4-BEA0-4EC0-A812-FA1BB28A77ED}" mergeInterval="0" personalView="1" maximized="1" xWindow="-8" yWindow="-8" windowWidth="1936" windowHeight="1056" tabRatio="1000" activeSheetId="1" showComments="commIndAndComment"/>
    <customWorkbookView name="Liefooghe, Christophe (DF PL STS 3D RTD1) - Personal View" guid="{B9AB21ED-E3BE-4820-A733-5D9B49340A60}" mergeInterval="0" personalView="1" xWindow="114" yWindow="7" windowWidth="1708" windowHeight="1025" activeSheetId="1"/>
    <customWorkbookView name="Yves Lemmens - Personal View" guid="{8203688E-C84C-4226-AC9B-35E73E3913A1}" mergeInterval="0" personalView="1" maximized="1" xWindow="-8" yWindow="-8" windowWidth="1936" windowHeight="1056" activeSheetId="1"/>
    <customWorkbookView name="Farkas, Laszlo - Personal View" guid="{7B865E73-1CB1-4826-B785-F65EEAD5C459}" mergeInterval="0" personalView="1" maximized="1" xWindow="-8" yWindow="-8" windowWidth="1936" windowHeight="1056" activeSheetId="1"/>
    <customWorkbookView name="Donders, Stijn - Personal View" guid="{02699583-48CC-46E8-B7DE-2095425CF53F}" mergeInterval="0" personalView="1" maximized="1" windowWidth="1436" windowHeight="675" activeSheetId="1"/>
    <customWorkbookView name="Laszlo Farkas - Personal View" guid="{21916C66-40F5-4236-980F-1B030D0F2A89}" mergeInterval="0" personalView="1" maximized="1" windowWidth="1680" windowHeight="818" activeSheetId="1"/>
    <customWorkbookView name="Michel Tournour - Personal View" guid="{205557A8-D4FA-4E0D-9F6A-B760D8264F30}" mergeInterval="0" personalView="1" maximized="1" windowWidth="1916" windowHeight="807" activeSheetId="1"/>
    <customWorkbookView name="Gert Heirman - Personal View" guid="{2058D1AC-62DA-4A35-B33A-159522EC7EAF}" mergeInterval="0" personalView="1" maximized="1" windowWidth="1920" windowHeight="807" activeSheetId="1"/>
    <customWorkbookView name="Alessandro Toso - Personal View" guid="{CEAACB34-C347-48F8-A6C1-D8057CF63864}" mergeInterval="0" personalView="1" maximized="1" windowWidth="1920" windowHeight="821" activeSheetId="1"/>
    <customWorkbookView name="Bert Van Genechten - Personal View" guid="{062BDAE9-A92E-4321-AB7C-D324E087286A}" mergeInterval="0" personalView="1" maximized="1" windowWidth="1920" windowHeight="821" activeSheetId="1"/>
    <customWorkbookView name="Michael Hack - Persönliche Ansicht" guid="{247FB430-EC96-479F-B2B9-1E66EAEA9B84}" mergeInterval="0" personalView="1" maximized="1" windowWidth="1276" windowHeight="822" activeSheetId="1"/>
    <customWorkbookView name="Nicola Cofelice - Personal View" guid="{361F6152-E0DA-4ED6-8BE1-4F60E58EF7C3}" mergeInterval="0" personalView="1" maximized="1" windowWidth="1676" windowHeight="870" activeSheetId="1"/>
    <customWorkbookView name="Christophe Schram - Personal View" guid="{A6DA9E12-F374-41A3-BAEB-46ED2F2EDA87}" mergeInterval="0" personalView="1" maximized="1" windowWidth="1261" windowHeight="885" activeSheetId="1"/>
    <customWorkbookView name="Els Tops - Personal View" guid="{97491CDE-8623-4D17-8DE7-860692A3EF73}" mergeInterval="0" personalView="1" maximized="1" windowWidth="1436" windowHeight="710" activeSheetId="1"/>
    <customWorkbookView name="Frans Lembregts - Personal View" guid="{BE118C5C-07A2-44A5-A7AE-699A8C23FE68}" mergeInterval="0" personalView="1" maximized="1" windowWidth="1901" windowHeight="956" activeSheetId="1"/>
    <customWorkbookView name="  - Personal View" guid="{CC5F5EFD-B0AA-428E-9196-6E1661814B8F}" mergeInterval="0" personalView="1" maximized="1" windowWidth="1276" windowHeight="863" activeSheetId="1"/>
    <customWorkbookView name="g_csc - Personal View" guid="{0C8BF986-F855-4B2D-BBD7-571D9616F6D0}" mergeInterval="0" personalView="1" maximized="1" windowWidth="1596" windowHeight="966" activeSheetId="1"/>
    <customWorkbookView name="g_sdo - Personal View" guid="{733658F2-57F0-4530-8CD4-C5DAAC653818}" mergeInterval="0" personalView="1" xWindow="5" yWindow="24" windowWidth="1276" windowHeight="645" activeSheetId="1"/>
    <customWorkbookView name="LMS International - Personal View" guid="{EF6CE64D-2760-4C31-AADF-5A469B7853C4}" mergeInterval="0" personalView="1" maximized="1" windowWidth="1916" windowHeight="1039" activeSheetId="1"/>
    <customWorkbookView name="Lotte Vrancken - Personal View" guid="{D5826ADE-139D-46B6-B87E-8328CA69D66C}" mergeInterval="0" personalView="1" maximized="1" windowWidth="1916" windowHeight="878" activeSheetId="1"/>
    <customWorkbookView name="LMS - Personal View" guid="{9EA3EF13-E6D3-44E0-8A32-1C52A06595D7}" mergeInterval="0" personalView="1" maximized="1" windowWidth="1739" windowHeight="921" activeSheetId="1"/>
    <customWorkbookView name="Hunor Erdélyi - Personal View" guid="{B70C82A9-FBB6-4142-9D2F-AC85CD7F713E}" mergeInterval="0" personalView="1" maximized="1" windowWidth="1916" windowHeight="903" activeSheetId="1"/>
    <customWorkbookView name="Christophe Liefooghe - Personal View" guid="{CBC000A7-A5D2-4C3A-9F42-0B23C39E43B8}" mergeInterval="0" personalView="1" maximized="1" windowWidth="1896" windowHeight="737" activeSheetId="1"/>
    <customWorkbookView name="Stefan Straesser - Personal View" guid="{327B3B12-4D83-4254-A27D-A4DB5ED46001}" mergeInterval="0" personalView="1" maximized="1" windowWidth="1637" windowHeight="754" activeSheetId="1"/>
    <customWorkbookView name="Marco Gubitosa - Personal View" guid="{E8C149C5-A0BE-4899-B715-0E8D3F8CFE1A}" mergeInterval="0" personalView="1" maximized="1" windowWidth="1920" windowHeight="894" tabRatio="784" activeSheetId="1"/>
    <customWorkbookView name="Paula Martinez - Personal View" guid="{0E9C9849-BFBB-47F1-BA5A-9D8118182F3F}" mergeInterval="0" personalView="1" maximized="1" windowWidth="1676" windowHeight="681" activeSheetId="1"/>
    <customWorkbookView name="Onur Atak - Personal View" guid="{5B672A8C-CC36-4DEB-B717-BC29923B4D84}" mergeInterval="0" personalView="1" maximized="1" windowWidth="1798" windowHeight="854" activeSheetId="1"/>
    <customWorkbookView name="Stijn Donders - Personal View" guid="{E41B9C0E-4DDA-4AD1-AD86-85BF8A557EC1}" mergeInterval="0" personalView="1" maximized="1" windowWidth="1916" windowHeight="805" activeSheetId="1"/>
    <customWorkbookView name="Tournour, Michel - Personal View" guid="{0540A299-E6B3-47FF-9C14-E56A63817BCB}" mergeInterval="0" personalView="1" maximized="1" windowWidth="1916" windowHeight="807" activeSheetId="1"/>
    <customWorkbookView name="Gubitosa, Marco - Personal View" guid="{94B50243-88D6-4C97-9067-A09A7DBAA0CF}" mergeInterval="0" personalView="1" maximized="1" windowWidth="1920" windowHeight="894" activeSheetId="1"/>
    <customWorkbookView name="Martinez, Paula - Personal View" guid="{6CBB5039-9708-4CDA-935D-B91359E996A3}" mergeInterval="0" personalView="1" maximized="1" windowWidth="1676" windowHeight="777" activeSheetId="1"/>
    <customWorkbookView name="Heirman, Gert - Personal View" guid="{71BE1220-3986-4DD7-B259-66694783AA08}" mergeInterval="0" personalView="1" maximized="1" windowWidth="1916" windowHeight="663" activeSheetId="1"/>
    <customWorkbookView name="Beriot, Hadrien - Personal View" guid="{24A062A0-4C32-4E5D-A7C8-4DE81E1F22C3}" mergeInterval="0" personalView="1" maximized="1" xWindow="-5" yWindow="-5" windowWidth="1930" windowHeight="1028" activeSheetId="1"/>
    <customWorkbookView name="Atak, Onur - Personal View" guid="{53D4F616-51C7-4795-9710-E10D516461DE}" mergeInterval="0" personalView="1" maximized="1" xWindow="1911" yWindow="-9" windowWidth="1938" windowHeight="1098" activeSheetId="1"/>
    <customWorkbookView name="Donders, Stijn (DF PL STS 3D RTD1 CAE-2) - Personal View" guid="{D86C39C4-588B-4BAC-BA25-B76306224ECE}" mergeInterval="0" personalView="1" maximized="1" xWindow="-9" yWindow="-9" windowWidth="1938" windowHeight="1048" activeSheetId="1"/>
    <customWorkbookView name="Beriot, Hadrien (DF PL STS R&amp;D SIM2 ASD RTD) - Personal View" guid="{CF26DBDE-7269-43A5-A673-28B38A7738B7}" mergeInterval="0" personalView="1" maximized="1" xWindow="-9" yWindow="-9" windowWidth="1938" windowHeight="1048" activeSheetId="1"/>
    <customWorkbookView name="Atak, Onur (DF PL STS R&amp;D SIM2 ASD RTD) - Personal View" guid="{9B432ED6-B97F-4FDD-8CAE-57CA2E65269F}" mergeInterval="0" personalView="1" maximized="1" xWindow="1912" yWindow="-8" windowWidth="1936" windowHeight="1066" activeSheetId="1"/>
    <customWorkbookView name="Farkas, Laszlo (DF PL STS 3D RTD1 RTD1B) - Personal View" guid="{4FD97F8F-6FC1-4F93-9FDD-71C79F9F6DDF}" mergeInterval="0" personalView="1" maximized="1" xWindow="-8" yWindow="-8" windowWidth="1936" windowHeight="1056" activeSheetId="1"/>
    <customWorkbookView name="Grottoli, Marco (DF PL STS IS AS&amp;D RTD) - Personal View" guid="{8FEACC1F-C8BE-41A2-9970-7882E09166D4}" mergeInterval="0" personalView="1" maximized="1" xWindow="-8" yWindow="-8" windowWidth="1936" windowHeight="1056" activeSheetId="1"/>
    <customWorkbookView name="Erdelyi, Hunor (DF PL STS 3D RTD1) - Personal View" guid="{14D883C1-9EA4-407C-9161-A9ED11D6EF7C}" mergeInterval="0" personalView="1" xWindow="960" windowWidth="960" windowHeight="1040" activeSheetId="1"/>
    <customWorkbookView name="Atak, Onur (DI SW STS SDPRM MECH RTD ACOU) - Personal View" guid="{A44355F0-03FC-4C28-9C46-6088F06A8E73}" mergeInterval="0" personalView="1" maximized="1" xWindow="107" yWindow="-8" windowWidth="1821" windowHeight="1096" activeSheetId="1"/>
    <customWorkbookView name="Le Bras, Sophie (DI SW STS 3D RTD1 ASD) - Personal View" guid="{B8C90BE8-2EAC-49F3-8939-E2A7D8988521}" mergeInterval="0" personalView="1" maximized="1" xWindow="-9" yWindow="-9" windowWidth="2578" windowHeight="1408" activeSheetId="1"/>
    <customWorkbookView name="Donders, Stijn (DI SW STS 3D RTD1 CAE-2) - Personal View" guid="{CDC45EEE-482E-486B-9E63-4729E911E7C2}" mergeInterval="0" personalView="1" maximized="1" xWindow="1912" yWindow="-8" windowWidth="1936" windowHeight="104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 a="1"/>
  <c r="F7" i="2" s="1"/>
  <c r="F8" i="2" a="1"/>
  <c r="F8" i="2" s="1"/>
  <c r="F11" i="2" a="1"/>
  <c r="F11" i="2" s="1"/>
  <c r="F10" i="2" a="1"/>
  <c r="F10" i="2" s="1"/>
  <c r="B15" i="19"/>
  <c r="E8" i="19" a="1"/>
  <c r="E8" i="19" s="1"/>
  <c r="B6" i="19"/>
  <c r="B6" i="17"/>
  <c r="C17" i="17"/>
  <c r="D16" i="17" a="1"/>
  <c r="D16" i="17" s="1"/>
  <c r="A18" i="17" s="1" a="1"/>
  <c r="A18" i="17" s="1"/>
  <c r="B18" i="17" s="1" a="1"/>
  <c r="B18" i="17" s="1"/>
  <c r="B13" i="17"/>
  <c r="B6" i="18"/>
  <c r="E13" i="18"/>
  <c r="C12" i="18"/>
  <c r="D9" i="18"/>
  <c r="F7" i="18" a="1"/>
  <c r="F7" i="18" s="1"/>
  <c r="A14" i="18" s="1" a="1"/>
  <c r="A14" i="18" s="1"/>
  <c r="C14" i="18" s="1" a="1"/>
  <c r="C14" i="18" s="1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27" i="19" l="1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P15" i="19"/>
  <c r="Q15" i="19"/>
  <c r="R15" i="19"/>
  <c r="S15" i="19"/>
  <c r="T15" i="19"/>
  <c r="U15" i="19"/>
  <c r="V15" i="19"/>
  <c r="C13" i="19" a="1"/>
  <c r="C13" i="19" s="1"/>
  <c r="D68" i="18"/>
  <c r="D69" i="18"/>
  <c r="D70" i="18"/>
  <c r="D71" i="18"/>
  <c r="D72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B1" i="16" a="1"/>
  <c r="B1" i="16" s="1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14" i="19" l="1" a="1"/>
  <c r="C14" i="19" s="1"/>
  <c r="A16" i="19" a="1"/>
  <c r="A16" i="19" s="1"/>
  <c r="O15" i="19"/>
  <c r="N15" i="19"/>
  <c r="M15" i="19"/>
  <c r="V13" i="18"/>
  <c r="W13" i="18"/>
  <c r="X13" i="18"/>
  <c r="Y13" i="18"/>
  <c r="I13" i="18"/>
  <c r="U13" i="18"/>
  <c r="L15" i="19"/>
  <c r="K15" i="19"/>
  <c r="J15" i="19"/>
  <c r="I15" i="19"/>
  <c r="H15" i="19"/>
  <c r="T13" i="18"/>
  <c r="S13" i="18"/>
  <c r="R13" i="18"/>
  <c r="Q13" i="18"/>
  <c r="E15" i="19"/>
  <c r="C15" i="19"/>
  <c r="G15" i="19"/>
  <c r="F15" i="19"/>
  <c r="D15" i="19"/>
  <c r="B26" i="19"/>
  <c r="P13" i="18"/>
  <c r="B14" i="17"/>
  <c r="H5" i="18" l="1" a="1"/>
  <c r="H5" i="18" s="1"/>
  <c r="F11" i="18" a="1"/>
  <c r="F11" i="18" s="1"/>
  <c r="F8" i="18" a="1"/>
  <c r="F8" i="18" s="1"/>
  <c r="F9" i="18" a="1"/>
  <c r="F9" i="18" s="1"/>
  <c r="F12" i="18" a="1"/>
  <c r="F12" i="18" s="1"/>
  <c r="F10" i="18" a="1"/>
  <c r="F10" i="18" s="1"/>
  <c r="B24" i="19"/>
  <c r="B25" i="19"/>
  <c r="B22" i="19"/>
  <c r="B23" i="19"/>
  <c r="B20" i="19"/>
  <c r="B21" i="19"/>
  <c r="B16" i="19"/>
  <c r="B17" i="19"/>
  <c r="B19" i="19"/>
  <c r="B18" i="19"/>
  <c r="J17" i="17"/>
  <c r="K17" i="17"/>
  <c r="H17" i="17"/>
  <c r="I17" i="17"/>
  <c r="M17" i="17" a="1"/>
  <c r="M17" i="17" s="1"/>
  <c r="E17" i="17"/>
  <c r="F17" i="17"/>
  <c r="G17" i="17"/>
  <c r="E23" i="18" l="1"/>
  <c r="E37" i="18"/>
  <c r="E51" i="18"/>
  <c r="E65" i="18"/>
  <c r="E25" i="18"/>
  <c r="E53" i="18"/>
  <c r="E40" i="18"/>
  <c r="E58" i="18"/>
  <c r="E24" i="18"/>
  <c r="E38" i="18"/>
  <c r="E52" i="18"/>
  <c r="E66" i="18"/>
  <c r="E39" i="18"/>
  <c r="E67" i="18"/>
  <c r="E54" i="18"/>
  <c r="E44" i="18"/>
  <c r="E32" i="18"/>
  <c r="E60" i="18"/>
  <c r="E47" i="18"/>
  <c r="E35" i="18"/>
  <c r="E26" i="18"/>
  <c r="E33" i="18"/>
  <c r="E61" i="18"/>
  <c r="E20" i="18"/>
  <c r="E34" i="18"/>
  <c r="E48" i="18"/>
  <c r="E62" i="18"/>
  <c r="E21" i="18"/>
  <c r="E49" i="18"/>
  <c r="E22" i="18"/>
  <c r="E64" i="18"/>
  <c r="E27" i="18"/>
  <c r="E41" i="18"/>
  <c r="E55" i="18"/>
  <c r="E29" i="18"/>
  <c r="E57" i="18"/>
  <c r="E30" i="18"/>
  <c r="E18" i="18"/>
  <c r="E46" i="18"/>
  <c r="E28" i="18"/>
  <c r="E42" i="18"/>
  <c r="E56" i="18"/>
  <c r="E15" i="18"/>
  <c r="E43" i="18"/>
  <c r="E16" i="18"/>
  <c r="E36" i="18"/>
  <c r="E17" i="18"/>
  <c r="E31" i="18"/>
  <c r="E45" i="18"/>
  <c r="E59" i="18"/>
  <c r="E19" i="18"/>
  <c r="E63" i="18"/>
  <c r="E50" i="18"/>
  <c r="B14" i="18" a="1"/>
  <c r="B14" i="18" s="1"/>
  <c r="D17" i="17"/>
  <c r="A2" i="16" a="1"/>
  <c r="A2" i="16" s="1"/>
  <c r="B2" i="16" s="1" a="1"/>
  <c r="B2" i="16" s="1"/>
  <c r="D42" i="18" l="1"/>
  <c r="E14" i="18"/>
  <c r="D58" i="18"/>
  <c r="D66" i="18"/>
  <c r="D67" i="18"/>
  <c r="D65" i="18"/>
  <c r="D64" i="18"/>
  <c r="D63" i="18"/>
  <c r="D59" i="18"/>
  <c r="D62" i="18"/>
  <c r="D61" i="18"/>
  <c r="D60" i="18"/>
  <c r="D55" i="18"/>
  <c r="D52" i="18"/>
  <c r="D50" i="18"/>
  <c r="D53" i="18"/>
  <c r="D57" i="18"/>
  <c r="D51" i="18"/>
  <c r="D45" i="18"/>
  <c r="D56" i="18"/>
  <c r="D54" i="18"/>
  <c r="D49" i="18"/>
  <c r="D47" i="18"/>
  <c r="D48" i="18"/>
  <c r="D46" i="18"/>
  <c r="D44" i="18"/>
  <c r="C39" i="17"/>
  <c r="C38" i="17"/>
  <c r="C40" i="17"/>
  <c r="C35" i="17"/>
  <c r="C37" i="17"/>
  <c r="C36" i="17"/>
  <c r="C32" i="17"/>
  <c r="C33" i="17"/>
  <c r="C34" i="17"/>
  <c r="C26" i="17"/>
  <c r="C27" i="17"/>
  <c r="C28" i="17"/>
  <c r="C29" i="17"/>
  <c r="C30" i="17"/>
  <c r="C31" i="17"/>
  <c r="N13" i="18"/>
  <c r="K13" i="18"/>
  <c r="J13" i="18"/>
  <c r="H13" i="18"/>
  <c r="O13" i="18"/>
  <c r="F13" i="18"/>
  <c r="G13" i="18"/>
  <c r="M13" i="18"/>
  <c r="L13" i="18"/>
  <c r="L18" i="17" a="1"/>
  <c r="L18" i="17" s="1"/>
  <c r="M18" i="17" s="1" a="1"/>
  <c r="M18" i="17" s="1"/>
  <c r="C25" i="17"/>
  <c r="C22" i="17"/>
  <c r="C24" i="17"/>
  <c r="C19" i="17"/>
  <c r="C23" i="17"/>
  <c r="C20" i="17"/>
  <c r="C21" i="17"/>
  <c r="E9" i="14"/>
  <c r="E12" i="14" a="1"/>
  <c r="E12" i="14" s="1"/>
  <c r="B1" i="12" a="1"/>
  <c r="B1" i="12" s="1"/>
  <c r="D43" i="18" l="1"/>
  <c r="D29" i="18"/>
  <c r="D41" i="18"/>
  <c r="D39" i="18"/>
  <c r="D40" i="18"/>
  <c r="D19" i="18"/>
  <c r="D34" i="18"/>
  <c r="D31" i="18"/>
  <c r="D32" i="18"/>
  <c r="D27" i="18"/>
  <c r="D36" i="18"/>
  <c r="D14" i="18"/>
  <c r="D23" i="18"/>
  <c r="D20" i="18"/>
  <c r="D15" i="18"/>
  <c r="D28" i="18"/>
  <c r="D33" i="18"/>
  <c r="D18" i="18"/>
  <c r="D25" i="18"/>
  <c r="D16" i="18"/>
  <c r="D24" i="18"/>
  <c r="D21" i="18"/>
  <c r="D35" i="18"/>
  <c r="D37" i="18"/>
  <c r="D30" i="18"/>
  <c r="D17" i="18"/>
  <c r="D22" i="18"/>
  <c r="D38" i="18"/>
  <c r="D26" i="18"/>
  <c r="C18" i="17"/>
  <c r="A2" i="12" a="1"/>
  <c r="A2" i="12" s="1"/>
  <c r="B2" i="12" l="1" a="1"/>
  <c r="B2" i="12" s="1"/>
  <c r="G6" i="19" s="1" a="1"/>
  <c r="G6" i="19" s="1"/>
  <c r="D6" i="19" s="1"/>
  <c r="G6" i="17" l="1" a="1"/>
  <c r="G6" i="17" s="1"/>
  <c r="D6" i="17" s="1"/>
  <c r="I6" i="18" a="1"/>
  <c r="I6" i="18" s="1"/>
  <c r="F6" i="1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<sst xmlns="http://schemas.openxmlformats.org/spreadsheetml/2006/main" count="526" uniqueCount="75">
  <si>
    <t>Div</t>
  </si>
  <si>
    <t>Team</t>
  </si>
  <si>
    <t>Role</t>
  </si>
  <si>
    <t>Project</t>
  </si>
  <si>
    <t>Start</t>
  </si>
  <si>
    <t>End</t>
  </si>
  <si>
    <t>Project Leader</t>
  </si>
  <si>
    <t>Target total PM</t>
  </si>
  <si>
    <t>Remark</t>
  </si>
  <si>
    <t>Work regime</t>
  </si>
  <si>
    <t>Name</t>
  </si>
  <si>
    <t>PMs</t>
  </si>
  <si>
    <t>Year</t>
  </si>
  <si>
    <t>Personnel</t>
  </si>
  <si>
    <t>PL</t>
  </si>
  <si>
    <t>Fund</t>
  </si>
  <si>
    <t>Years</t>
  </si>
  <si>
    <t>Current total PMs</t>
  </si>
  <si>
    <t>Target total PMs</t>
  </si>
  <si>
    <t>Delta</t>
  </si>
  <si>
    <t>Projects</t>
  </si>
  <si>
    <t>Max PM for that year</t>
  </si>
  <si>
    <t>Select Personnel :</t>
  </si>
  <si>
    <t>Select year :</t>
  </si>
  <si>
    <t>Select Project :</t>
  </si>
  <si>
    <t>Legal Entity</t>
  </si>
  <si>
    <t>Start/Change date</t>
  </si>
  <si>
    <t>Work Regime</t>
  </si>
  <si>
    <t>from date</t>
  </si>
  <si>
    <t>Start date</t>
  </si>
  <si>
    <t>Select name</t>
  </si>
  <si>
    <t>Edit Work Regime</t>
  </si>
  <si>
    <t>Date</t>
  </si>
  <si>
    <t>Full name</t>
  </si>
  <si>
    <t>Status</t>
  </si>
  <si>
    <t>Calendar Years</t>
  </si>
  <si>
    <t>Add/Edit Personnel</t>
  </si>
  <si>
    <t>Starting Work regime</t>
  </si>
  <si>
    <r>
      <rPr>
        <b/>
        <sz val="10"/>
        <rFont val="Arial"/>
        <family val="2"/>
      </rPr>
      <t>Currently available PMs</t>
    </r>
    <r>
      <rPr>
        <sz val="10"/>
        <rFont val="Arial"/>
        <family val="2"/>
      </rPr>
      <t xml:space="preserve"> (excluding PM already for that project in database)</t>
    </r>
  </si>
  <si>
    <t>For adding/editing/deleting work regime lines, please go through the "Personnel update" tab</t>
  </si>
  <si>
    <t>For adding new personnel, please go through the "Personnel update" tab</t>
  </si>
  <si>
    <t>Phoenix</t>
  </si>
  <si>
    <t>John Doe</t>
  </si>
  <si>
    <t>finished</t>
  </si>
  <si>
    <t>Rebirth</t>
  </si>
  <si>
    <t>Mark Overbooked</t>
  </si>
  <si>
    <t>Horizon</t>
  </si>
  <si>
    <t>Evolution</t>
  </si>
  <si>
    <t>Emily Busy</t>
  </si>
  <si>
    <t>Atlas</t>
  </si>
  <si>
    <t>Nexus</t>
  </si>
  <si>
    <t>Selft-funded</t>
  </si>
  <si>
    <t>Orion</t>
  </si>
  <si>
    <t>Zenith</t>
  </si>
  <si>
    <t>Eclipse</t>
  </si>
  <si>
    <t>Emerald</t>
  </si>
  <si>
    <t>Development</t>
  </si>
  <si>
    <t>Frontend Developer</t>
  </si>
  <si>
    <t>Development Team</t>
  </si>
  <si>
    <t>Portfolio S.A.</t>
  </si>
  <si>
    <t>Jane Smith</t>
  </si>
  <si>
    <t>Backend Developer</t>
  </si>
  <si>
    <t>Bobby Turner</t>
  </si>
  <si>
    <t>DevOps Engineer</t>
  </si>
  <si>
    <t>Only on funded projects</t>
  </si>
  <si>
    <t>Lily Fernandez</t>
  </si>
  <si>
    <t>Julianna Bright</t>
  </si>
  <si>
    <t>Paul Greenfield</t>
  </si>
  <si>
    <t>Full Stack Developer</t>
  </si>
  <si>
    <t>Samuel Ridges</t>
  </si>
  <si>
    <t>Laura Hills</t>
  </si>
  <si>
    <t>ongoing</t>
  </si>
  <si>
    <t>Funding</t>
  </si>
  <si>
    <t>Client</t>
  </si>
  <si>
    <t>Funding 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</si>
</sst>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999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BDED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2" fontId="2" fillId="2" borderId="1" xfId="0" applyNumberFormat="1" applyFont="1" applyFill="1" applyBorder="1" applyAlignment="1">
      <alignment wrapText="1"/>
    </xf>
    <xf numFmtId="2" fontId="4" fillId="2" borderId="1" xfId="0" applyNumberFormat="1" applyFont="1" applyFill="1" applyBorder="1"/>
    <xf numFmtId="0" fontId="1" fillId="3" borderId="1" xfId="0" applyFont="1" applyFill="1" applyBorder="1" applyAlignment="1">
      <alignment wrapText="1"/>
    </xf>
    <xf numFmtId="2" fontId="1" fillId="3" borderId="1" xfId="0" applyNumberFormat="1" applyFont="1" applyFill="1" applyBorder="1" applyAlignment="1">
      <alignment wrapText="1"/>
    </xf>
    <xf numFmtId="0" fontId="3" fillId="0" borderId="0" xfId="0" applyFont="1"/>
    <xf numFmtId="14" fontId="0" fillId="0" borderId="0" xfId="0" applyNumberFormat="1"/>
    <xf numFmtId="14" fontId="1" fillId="0" borderId="0" xfId="0" applyNumberFormat="1" applyFont="1"/>
    <xf numFmtId="9" fontId="0" fillId="0" borderId="0" xfId="1" applyFont="1"/>
    <xf numFmtId="0" fontId="3" fillId="0" borderId="0" xfId="0" quotePrefix="1" applyFont="1"/>
    <xf numFmtId="0" fontId="7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2" fillId="0" borderId="1" xfId="0" applyNumberFormat="1" applyFont="1" applyBorder="1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 applyAlignment="1">
      <alignment horizontal="right"/>
    </xf>
    <xf numFmtId="0" fontId="1" fillId="2" borderId="1" xfId="0" applyFont="1" applyFill="1" applyBorder="1"/>
    <xf numFmtId="0" fontId="0" fillId="0" borderId="1" xfId="0" applyBorder="1"/>
    <xf numFmtId="0" fontId="7" fillId="0" borderId="0" xfId="0" applyFont="1" applyAlignment="1">
      <alignment horizontal="right"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9" fontId="1" fillId="0" borderId="0" xfId="1" applyFont="1"/>
    <xf numFmtId="2" fontId="1" fillId="0" borderId="0" xfId="0" applyNumberFormat="1" applyFont="1" applyAlignment="1">
      <alignment wrapText="1"/>
    </xf>
    <xf numFmtId="0" fontId="2" fillId="2" borderId="1" xfId="0" applyFont="1" applyFill="1" applyBorder="1"/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9" fillId="0" borderId="1" xfId="0" applyFont="1" applyBorder="1" applyAlignment="1">
      <alignment horizontal="center" vertical="center" wrapText="1"/>
    </xf>
    <xf numFmtId="0" fontId="0" fillId="5" borderId="0" xfId="0" applyFill="1"/>
    <xf numFmtId="0" fontId="3" fillId="0" borderId="2" xfId="0" quotePrefix="1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1" fillId="4" borderId="1" xfId="0" applyFont="1" applyFill="1" applyBorder="1" applyAlignment="1" applyProtection="1">
      <alignment horizontal="left"/>
      <protection locked="0"/>
    </xf>
    <xf numFmtId="14" fontId="1" fillId="4" borderId="1" xfId="0" applyNumberFormat="1" applyFont="1" applyFill="1" applyBorder="1" applyAlignment="1" applyProtection="1">
      <alignment horizontal="left"/>
      <protection locked="0"/>
    </xf>
    <xf numFmtId="9" fontId="0" fillId="4" borderId="1" xfId="1" applyFont="1" applyFill="1" applyBorder="1" applyAlignment="1" applyProtection="1">
      <alignment horizontal="left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9" fontId="0" fillId="4" borderId="1" xfId="1" applyFont="1" applyFill="1" applyBorder="1" applyProtection="1">
      <protection locked="0"/>
    </xf>
    <xf numFmtId="14" fontId="0" fillId="4" borderId="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9" fillId="4" borderId="0" xfId="0" applyFont="1" applyFill="1" applyAlignment="1" applyProtection="1">
      <alignment horizontal="center" vertical="center" wrapText="1"/>
      <protection locked="0"/>
    </xf>
    <xf numFmtId="0" fontId="8" fillId="4" borderId="0" xfId="0" applyFont="1" applyFill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right" wrapText="1"/>
      <protection locked="0"/>
    </xf>
    <xf numFmtId="0" fontId="8" fillId="4" borderId="0" xfId="0" applyFont="1" applyFill="1" applyAlignment="1" applyProtection="1">
      <alignment horizontal="center" vertical="center" wrapText="1"/>
      <protection locked="0"/>
    </xf>
    <xf numFmtId="14" fontId="0" fillId="0" borderId="0" xfId="0" applyNumberFormat="1" applyProtection="1">
      <protection locked="0"/>
    </xf>
    <xf numFmtId="14" fontId="1" fillId="0" borderId="0" xfId="0" applyNumberFormat="1" applyFont="1" applyProtection="1">
      <protection locked="0"/>
    </xf>
    <xf numFmtId="0" fontId="11" fillId="0" borderId="0" xfId="0" applyFont="1" applyProtection="1">
      <protection locked="0"/>
    </xf>
    <xf numFmtId="14" fontId="1" fillId="4" borderId="1" xfId="0" applyNumberFormat="1" applyFont="1" applyFill="1" applyBorder="1" applyAlignment="1" applyProtection="1">
      <alignment horizontal="right" wrapText="1"/>
      <protection locked="0"/>
    </xf>
    <xf numFmtId="0" fontId="0" fillId="4" borderId="1" xfId="0" applyFill="1" applyBorder="1" applyAlignment="1" applyProtection="1">
      <alignment horizontal="right"/>
      <protection locked="0"/>
    </xf>
    <xf numFmtId="2" fontId="1" fillId="4" borderId="1" xfId="0" applyNumberFormat="1" applyFont="1" applyFill="1" applyBorder="1" applyAlignment="1" applyProtection="1">
      <alignment horizontal="right" wrapText="1"/>
      <protection locked="0"/>
    </xf>
    <xf numFmtId="0" fontId="1" fillId="4" borderId="1" xfId="0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center" vertical="center" wrapText="1"/>
    </xf>
    <xf numFmtId="2" fontId="2" fillId="2" borderId="3" xfId="0" applyNumberFormat="1" applyFont="1" applyFill="1" applyBorder="1" applyAlignment="1">
      <alignment horizontal="center" wrapText="1"/>
    </xf>
    <xf numFmtId="2" fontId="2" fillId="2" borderId="4" xfId="0" applyNumberFormat="1" applyFont="1" applyFill="1" applyBorder="1" applyAlignment="1">
      <alignment horizontal="center" wrapText="1"/>
    </xf>
    <xf numFmtId="2" fontId="2" fillId="2" borderId="2" xfId="0" applyNumberFormat="1" applyFont="1" applyFill="1" applyBorder="1" applyAlignment="1">
      <alignment horizontal="center" wrapText="1"/>
    </xf>
    <xf numFmtId="0" fontId="10" fillId="0" borderId="1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51"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protection locked="0" hidden="0"/>
    </dxf>
    <dxf>
      <numFmt numFmtId="19" formatCode="dd/mm/yy"/>
      <protection locked="0" hidden="0"/>
    </dxf>
    <dxf>
      <numFmt numFmtId="19" formatCode="dd/mm/yy"/>
      <protection locked="0" hidden="0"/>
    </dxf>
    <dxf>
      <numFmt numFmtId="19" formatCode="dd/mm/yy"/>
      <protection locked="0" hidden="0"/>
    </dxf>
    <dxf>
      <numFmt numFmtId="19" formatCode="dd/mm/yy"/>
      <protection locked="0" hidden="0"/>
    </dxf>
    <dxf>
      <numFmt numFmtId="19" formatCode="dd/mm/yy"/>
      <protection locked="0" hidden="0"/>
    </dxf>
    <dxf>
      <protection locked="0" hidden="0"/>
    </dxf>
    <dxf>
      <protection locked="0" hidden="0"/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 patternType="solid">
          <bgColor rgb="FFC0C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solid">
          <bgColor rgb="FFC0C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 patternType="solid"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 patternType="solid"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BDED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 patternType="solid"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BDED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 patternType="solid"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BDED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solid">
          <fgColor auto="1"/>
          <bgColor rgb="FFFFC00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 patternType="solid"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9999"/>
      </font>
      <fill>
        <patternFill>
          <bgColor rgb="FFCBDED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CBDED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BDEDE"/>
      <color rgb="FF805CFF"/>
      <color rgb="FFC0C0C0"/>
      <color rgb="FF0099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19050</xdr:rowOff>
    </xdr:from>
    <xdr:to>
      <xdr:col>3</xdr:col>
      <xdr:colOff>600075</xdr:colOff>
      <xdr:row>0</xdr:row>
      <xdr:rowOff>457199</xdr:rowOff>
    </xdr:to>
    <xdr:sp macro="[0]!LoadYearView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7CD2A4C-ACD3-46CD-BE98-8B9CC28D0D66}"/>
            </a:ext>
          </a:extLst>
        </xdr:cNvPr>
        <xdr:cNvSpPr/>
      </xdr:nvSpPr>
      <xdr:spPr bwMode="auto">
        <a:xfrm>
          <a:off x="3181350" y="19050"/>
          <a:ext cx="1123950" cy="438149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Load Data</a:t>
          </a:r>
          <a:endParaRPr lang="LID4096" sz="1400"/>
        </a:p>
      </xdr:txBody>
    </xdr:sp>
    <xdr:clientData/>
  </xdr:twoCellAnchor>
  <xdr:twoCellAnchor>
    <xdr:from>
      <xdr:col>7</xdr:col>
      <xdr:colOff>0</xdr:colOff>
      <xdr:row>1</xdr:row>
      <xdr:rowOff>47626</xdr:rowOff>
    </xdr:from>
    <xdr:to>
      <xdr:col>8</xdr:col>
      <xdr:colOff>0</xdr:colOff>
      <xdr:row>5</xdr:row>
      <xdr:rowOff>0</xdr:rowOff>
    </xdr:to>
    <xdr:sp macro="[0]!SaveYearView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91F7A89-3824-48FE-8A50-5EF5CDBB2691}"/>
            </a:ext>
          </a:extLst>
        </xdr:cNvPr>
        <xdr:cNvSpPr/>
      </xdr:nvSpPr>
      <xdr:spPr bwMode="auto">
        <a:xfrm>
          <a:off x="7267575" y="523876"/>
          <a:ext cx="1123950" cy="600074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Save</a:t>
          </a:r>
          <a:r>
            <a:rPr lang="fr-BE" sz="1400" baseline="0"/>
            <a:t> changes</a:t>
          </a:r>
          <a:endParaRPr lang="LID4096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0</xdr:row>
      <xdr:rowOff>66675</xdr:rowOff>
    </xdr:from>
    <xdr:to>
      <xdr:col>3</xdr:col>
      <xdr:colOff>114300</xdr:colOff>
      <xdr:row>0</xdr:row>
      <xdr:rowOff>504824</xdr:rowOff>
    </xdr:to>
    <xdr:sp macro="[0]!LoadProjectView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A6EBCAF-8D34-4BAD-869B-E06366F72F96}"/>
            </a:ext>
          </a:extLst>
        </xdr:cNvPr>
        <xdr:cNvSpPr/>
      </xdr:nvSpPr>
      <xdr:spPr bwMode="auto">
        <a:xfrm>
          <a:off x="3152775" y="66675"/>
          <a:ext cx="1123950" cy="438149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Load Data</a:t>
          </a:r>
          <a:endParaRPr lang="LID4096" sz="1400"/>
        </a:p>
      </xdr:txBody>
    </xdr:sp>
    <xdr:clientData/>
  </xdr:twoCellAnchor>
  <xdr:twoCellAnchor>
    <xdr:from>
      <xdr:col>8</xdr:col>
      <xdr:colOff>666750</xdr:colOff>
      <xdr:row>9</xdr:row>
      <xdr:rowOff>57150</xdr:rowOff>
    </xdr:from>
    <xdr:to>
      <xdr:col>9</xdr:col>
      <xdr:colOff>847725</xdr:colOff>
      <xdr:row>13</xdr:row>
      <xdr:rowOff>9524</xdr:rowOff>
    </xdr:to>
    <xdr:sp macro="[0]!SaveProjectVi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41ED3A-B932-1381-019D-93185B36A7B8}"/>
            </a:ext>
          </a:extLst>
        </xdr:cNvPr>
        <xdr:cNvSpPr/>
      </xdr:nvSpPr>
      <xdr:spPr bwMode="auto">
        <a:xfrm>
          <a:off x="9544050" y="2228850"/>
          <a:ext cx="1123950" cy="438149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Save</a:t>
          </a:r>
          <a:r>
            <a:rPr lang="fr-BE" sz="1400" baseline="0"/>
            <a:t> changes</a:t>
          </a:r>
          <a:endParaRPr lang="LID4096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47625</xdr:rowOff>
    </xdr:from>
    <xdr:to>
      <xdr:col>3</xdr:col>
      <xdr:colOff>47625</xdr:colOff>
      <xdr:row>0</xdr:row>
      <xdr:rowOff>485774</xdr:rowOff>
    </xdr:to>
    <xdr:sp macro="[0]!LoadPersonnelView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C86F44-4B5F-47BD-86A2-3D96AA8BFD49}"/>
            </a:ext>
          </a:extLst>
        </xdr:cNvPr>
        <xdr:cNvSpPr/>
      </xdr:nvSpPr>
      <xdr:spPr bwMode="auto">
        <a:xfrm>
          <a:off x="3143250" y="47625"/>
          <a:ext cx="1123950" cy="438149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Load Data</a:t>
          </a:r>
          <a:endParaRPr lang="LID4096" sz="1400"/>
        </a:p>
      </xdr:txBody>
    </xdr:sp>
    <xdr:clientData/>
  </xdr:twoCellAnchor>
  <xdr:twoCellAnchor>
    <xdr:from>
      <xdr:col>9</xdr:col>
      <xdr:colOff>0</xdr:colOff>
      <xdr:row>8</xdr:row>
      <xdr:rowOff>142876</xdr:rowOff>
    </xdr:from>
    <xdr:to>
      <xdr:col>10</xdr:col>
      <xdr:colOff>0</xdr:colOff>
      <xdr:row>12</xdr:row>
      <xdr:rowOff>0</xdr:rowOff>
    </xdr:to>
    <xdr:sp macro="[0]!SavePersonnelView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F5A2949-9107-4F74-AC39-3C30EAB1BA4A}"/>
            </a:ext>
          </a:extLst>
        </xdr:cNvPr>
        <xdr:cNvSpPr/>
      </xdr:nvSpPr>
      <xdr:spPr bwMode="auto">
        <a:xfrm>
          <a:off x="10963275" y="2143126"/>
          <a:ext cx="1123950" cy="504824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Save</a:t>
          </a:r>
          <a:r>
            <a:rPr lang="fr-BE" sz="1400" baseline="0"/>
            <a:t> changes</a:t>
          </a:r>
          <a:endParaRPr lang="LID4096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2</xdr:col>
      <xdr:colOff>1790699</xdr:colOff>
      <xdr:row>13</xdr:row>
      <xdr:rowOff>0</xdr:rowOff>
    </xdr:to>
    <xdr:sp macro="[0]!AddEditPersonn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F16E5D-CF14-4567-9831-A3A76FFD53A2}"/>
            </a:ext>
          </a:extLst>
        </xdr:cNvPr>
        <xdr:cNvSpPr/>
      </xdr:nvSpPr>
      <xdr:spPr bwMode="auto">
        <a:xfrm>
          <a:off x="0" y="1457325"/>
          <a:ext cx="2733674" cy="485775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Add/Edit</a:t>
          </a:r>
          <a:endParaRPr lang="LID4096" sz="1400"/>
        </a:p>
      </xdr:txBody>
    </xdr:sp>
    <xdr:clientData/>
  </xdr:twoCellAnchor>
  <xdr:twoCellAnchor>
    <xdr:from>
      <xdr:col>4</xdr:col>
      <xdr:colOff>1</xdr:colOff>
      <xdr:row>5</xdr:row>
      <xdr:rowOff>0</xdr:rowOff>
    </xdr:from>
    <xdr:to>
      <xdr:col>5</xdr:col>
      <xdr:colOff>0</xdr:colOff>
      <xdr:row>8</xdr:row>
      <xdr:rowOff>0</xdr:rowOff>
    </xdr:to>
    <xdr:sp macro="[0]!AddOrEditWorkRegi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4784779-6B45-FFE9-8377-0FFC587A72C8}"/>
            </a:ext>
          </a:extLst>
        </xdr:cNvPr>
        <xdr:cNvSpPr/>
      </xdr:nvSpPr>
      <xdr:spPr bwMode="auto">
        <a:xfrm>
          <a:off x="7096126" y="1038225"/>
          <a:ext cx="1162049" cy="485775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Add/Edit</a:t>
          </a:r>
          <a:endParaRPr lang="LID4096" sz="1400"/>
        </a:p>
      </xdr:txBody>
    </xdr:sp>
    <xdr:clientData/>
  </xdr:twoCellAnchor>
  <xdr:twoCellAnchor>
    <xdr:from>
      <xdr:col>5</xdr:col>
      <xdr:colOff>1</xdr:colOff>
      <xdr:row>5</xdr:row>
      <xdr:rowOff>0</xdr:rowOff>
    </xdr:from>
    <xdr:to>
      <xdr:col>6</xdr:col>
      <xdr:colOff>1</xdr:colOff>
      <xdr:row>8</xdr:row>
      <xdr:rowOff>0</xdr:rowOff>
    </xdr:to>
    <xdr:sp macro="[0]!DeleteWorkRegim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1049DAB-4131-BF01-9DBC-1AC7342ECBDB}"/>
            </a:ext>
          </a:extLst>
        </xdr:cNvPr>
        <xdr:cNvSpPr/>
      </xdr:nvSpPr>
      <xdr:spPr bwMode="auto">
        <a:xfrm>
          <a:off x="8258176" y="1038225"/>
          <a:ext cx="1181100" cy="485775"/>
        </a:xfrm>
        <a:prstGeom prst="roundRect">
          <a:avLst/>
        </a:prstGeom>
        <a:solidFill>
          <a:srgbClr val="00999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fr-BE" sz="1400"/>
            <a:t>Delete</a:t>
          </a:r>
          <a:endParaRPr lang="LID4096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D6400D-290A-4D0A-9C37-4DA7616AC6B7}" name="ProjectList" displayName="ProjectList" ref="A1:G11" totalsRowShown="0" dataDxfId="14">
  <autoFilter ref="A1:G11" xr:uid="{2BD6400D-290A-4D0A-9C37-4DA7616AC6B7}"/>
  <tableColumns count="7">
    <tableColumn id="1" xr3:uid="{F373F11D-5BA7-4CF4-91AE-7E2ECF92C9A7}" name="Project" dataDxfId="13"/>
    <tableColumn id="6" xr3:uid="{319308CA-62EB-4FC9-9E9E-27EAD28F099A}" name="Funding" dataDxfId="12"/>
    <tableColumn id="2" xr3:uid="{32FFD643-A0C4-483A-B3E3-A01887FED900}" name="Start" dataDxfId="11"/>
    <tableColumn id="3" xr3:uid="{C1ACDF7C-0C55-4816-9EDB-D9F1C7CC084B}" name="End" dataDxfId="10"/>
    <tableColumn id="4" xr3:uid="{51213C01-7F21-4E3F-B675-06D94D3D0898}" name="Project Leader" dataDxfId="9"/>
    <tableColumn id="7" xr3:uid="{22B9068E-C2B5-4BE2-8AF8-25AE4C594E3E}" name="Status" dataDxfId="8">
      <calculatedColumnFormula array="1">_xlfn.IFS(
  TODAY()&lt;ProjectList[[#This Row],[Start]],"to be started",
  TODAY()&gt;ProjectList[[#This Row],[End]],"finished",
  AND(TODAY()&lt;=ProjectList[[#This Row],[End]],TODAY()&gt;=ProjectList[[#This Row],[Start]]),"ongoing")</calculatedColumnFormula>
    </tableColumn>
    <tableColumn id="5" xr3:uid="{3013A0D5-D671-4F8D-8401-AB981869EA61}" name="Target total PM" dataDxfId="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1679DB-F2B5-47F5-96C7-4DDD53257997}" name="Database" displayName="Database" ref="A1:D173" totalsRowShown="0" headerRowDxfId="5">
  <autoFilter ref="A1:D173" xr:uid="{1A1679DB-F2B5-47F5-96C7-4DDD53257997}"/>
  <sortState xmlns:xlrd2="http://schemas.microsoft.com/office/spreadsheetml/2017/richdata2" ref="A2:D155">
    <sortCondition ref="A1:A155"/>
  </sortState>
  <tableColumns count="4">
    <tableColumn id="1" xr3:uid="{A6913BBA-C743-4219-9142-1946B1D28F07}" name="Name"/>
    <tableColumn id="2" xr3:uid="{5EEF364D-88DB-4BE3-97F8-0558C5549410}" name="Project"/>
    <tableColumn id="3" xr3:uid="{FEE589C4-EF09-40ED-880A-30E1659DE0B7}" name="Year"/>
    <tableColumn id="4" xr3:uid="{8B202D0B-76C4-4DDF-AA6F-FE998887F72A}" name="PM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D80B44-FD40-4CCE-AF1F-A0066BAE89C5}" name="PersonnelList" displayName="PersonnelList" ref="A1:F11" totalsRowShown="0" headerRowDxfId="4">
  <autoFilter ref="A1:F11" xr:uid="{89D80B44-FD40-4CCE-AF1F-A0066BAE89C5}"/>
  <tableColumns count="6">
    <tableColumn id="1" xr3:uid="{759177D9-418B-423B-A6FF-B99249DBE37C}" name="Name"/>
    <tableColumn id="2" xr3:uid="{818F20FB-7D84-4948-9EC6-08BC10CC526F}" name="Div"/>
    <tableColumn id="3" xr3:uid="{BD79DE6D-BD4A-4A89-A51B-F1525908E015}" name="Role"/>
    <tableColumn id="4" xr3:uid="{0148EA71-1691-4288-AB54-97C888E556F9}" name="Team"/>
    <tableColumn id="9" xr3:uid="{E0FA4DF8-0E39-45C3-92B1-1BBD02DC77C6}" name="Legal Entity"/>
    <tableColumn id="8" xr3:uid="{D7330D12-B1FD-471A-B7AE-469D66C65F99}" name="Remark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1A43D7-67CA-4CF3-ACAE-2DCBEB6F4153}" name="WorkRegime" displayName="WorkRegime" ref="A1:C14" totalsRowShown="0" headerRowDxfId="3">
  <autoFilter ref="A1:C14" xr:uid="{BA1A43D7-67CA-4CF3-ACAE-2DCBEB6F4153}"/>
  <tableColumns count="3">
    <tableColumn id="1" xr3:uid="{B10BF08C-1E62-464D-9734-139C41B355AF}" name="Name" dataDxfId="2"/>
    <tableColumn id="2" xr3:uid="{8B6727B5-6718-479B-A033-33DF9F0C752A}" name="Work regime" dataDxfId="1" dataCellStyle="Percent"/>
    <tableColumn id="3" xr3:uid="{5CFF6B0C-2A2C-4961-B7BF-CF4ACFFE05CE}" name="Start/Change dat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0E510-698F-45AC-A4CB-A30451B324DF}">
  <sheetPr codeName="Sheet14">
    <tabColor rgb="FF009999"/>
  </sheetPr>
  <dimension ref="A1:AZ101"/>
  <sheetViews>
    <sheetView tabSelected="1" workbookViewId="0">
      <selection activeCell="K4" sqref="K4"/>
    </sheetView>
  </sheetViews>
  <sheetFormatPr defaultRowHeight="12.75" x14ac:dyDescent="0.2"/>
  <cols>
    <col min="1" max="1" width="21.7109375" customWidth="1"/>
    <col min="2" max="2" width="24.7109375" bestFit="1" customWidth="1"/>
    <col min="4" max="4" width="11.28515625" customWidth="1"/>
    <col min="5" max="5" width="8.42578125" customWidth="1"/>
    <col min="6" max="52" width="16.85546875" customWidth="1"/>
  </cols>
  <sheetData>
    <row r="1" spans="1:52" ht="37.5" customHeight="1" x14ac:dyDescent="0.2">
      <c r="A1" s="18" t="s">
        <v>23</v>
      </c>
      <c r="B1" s="46">
        <v>2025</v>
      </c>
      <c r="Z1" s="49">
        <v>2025</v>
      </c>
    </row>
    <row r="5" spans="1:52" x14ac:dyDescent="0.2">
      <c r="H5" s="31" t="str" cm="1">
        <f t="array" ref="H5">IF(SUM(COUNTIF(F7:V7,F7:V7))=COUNTA(F7:V7),"","/!\ Some projects appear more than once /!\")</f>
        <v/>
      </c>
    </row>
    <row r="6" spans="1:52" s="20" customFormat="1" ht="42" customHeight="1" x14ac:dyDescent="0.2">
      <c r="A6" s="18"/>
      <c r="B6" s="30" t="str">
        <f>_xlfn.CONCAT("Displayed year :
"&amp;Z1)</f>
        <v>Displayed year :
2025</v>
      </c>
      <c r="F6" s="54" t="str">
        <f>IF(I6=0,"","It seems there is an overbooking for the following persons, please check their details in the personnel tab to identify the problematic year:")</f>
        <v>It seems there is an overbooking for the following persons, please check their details in the personnel tab to identify the problematic year:</v>
      </c>
      <c r="G6" s="54"/>
      <c r="H6" s="54"/>
      <c r="I6" s="22" t="str" cm="1">
        <f t="array" ref="I6:J6">IFERROR(TRANSPOSE(_xlfn._xlws.FILTER(_xlfn.ANCHORARRAY('Error checks'!$A$2),_xlfn.BYROW(_xlfn.ANCHORARRAY('Error checks'!$B$2),_xlfn.LAMBDA(_xlpm.a,_xlfn.AGGREGATE(9,2,_xlpm.a)))&lt;COUNT(_xlfn.ANCHORARRAY('Error checks'!$B$1)))),0)</f>
        <v>Mark Overbooked</v>
      </c>
      <c r="J6" s="21" t="str">
        <v>Emily Busy</v>
      </c>
    </row>
    <row r="7" spans="1:52" x14ac:dyDescent="0.2">
      <c r="E7" s="2" t="s">
        <v>3</v>
      </c>
      <c r="F7" t="str" cm="1">
        <f t="array" ref="F7:L7">_xlfn.LET(
_xlpm.a_int, _xlfn._xlws.FILTER(ProjectList[Project],(YEAR(ProjectList[Start])&lt;=$Z$1)*(YEAR(ProjectList[End])&gt;=$Z$1)),
_xlpm.b, IFERROR(_xlfn._xlws.FILTER(Database[Project],Database[Year]=$Z$1),_xlpm.a_int),
_xlpm.a, IFERROR(_xlpm.a_int,_xlpm.b),
_xlpm.res, TRANSPOSE(_xlfn.UNIQUE(_xlfn.VSTACK(_xlpm.a,_xlpm.b))),
_xlpm.res)</f>
        <v>Evolution</v>
      </c>
      <c r="G7" s="42" t="str">
        <v>Atlas</v>
      </c>
      <c r="H7" s="42" t="str">
        <v>Nexus</v>
      </c>
      <c r="I7" s="42" t="str">
        <v>Orion</v>
      </c>
      <c r="J7" s="42" t="str">
        <v>Zenith</v>
      </c>
      <c r="K7" s="42" t="str">
        <v>Eclipse</v>
      </c>
      <c r="L7" s="42" t="str">
        <v>Emerald</v>
      </c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</row>
    <row r="8" spans="1:52" ht="12.75" customHeight="1" x14ac:dyDescent="0.2">
      <c r="E8" s="4" t="s">
        <v>15</v>
      </c>
      <c r="F8" t="str" cm="1">
        <f t="array" ref="F8:L8">_xlfn.XLOOKUP(_xlfn._TRO_TRAILING(F7:AZ7),ProjectList[Project],ProjectList[Funding])</f>
        <v>Client</v>
      </c>
      <c r="G8" t="str">
        <v>Client</v>
      </c>
      <c r="H8" t="str">
        <v>Selft-funded</v>
      </c>
      <c r="I8" t="str">
        <v>Selft-funded</v>
      </c>
      <c r="J8" t="str">
        <v>Client</v>
      </c>
      <c r="K8" t="str">
        <v>Selft-funded</v>
      </c>
      <c r="L8" t="str">
        <v>Client</v>
      </c>
    </row>
    <row r="9" spans="1:52" s="7" customFormat="1" ht="12.75" customHeight="1" x14ac:dyDescent="0.2">
      <c r="C9" s="14"/>
      <c r="D9" s="55" t="str">
        <f>_xlfn.CONCAT("Remaining PMs to assign for ",$Z$1)</f>
        <v>Remaining PMs to assign for 2025</v>
      </c>
      <c r="E9" s="5" t="s">
        <v>4</v>
      </c>
      <c r="F9" s="7" cm="1">
        <f t="array" ref="F9:L9">_xlfn.XLOOKUP(_xlfn._TRO_TRAILING(F7:AZ7),ProjectList[Project],ProjectList[Start])</f>
        <v>44927</v>
      </c>
      <c r="G9" s="7">
        <v>45292</v>
      </c>
      <c r="H9" s="7">
        <v>44228</v>
      </c>
      <c r="I9" s="7">
        <v>45474</v>
      </c>
      <c r="J9" s="7">
        <v>45597</v>
      </c>
      <c r="K9" s="7">
        <v>45689</v>
      </c>
      <c r="L9" s="7">
        <v>45689</v>
      </c>
    </row>
    <row r="10" spans="1:52" s="7" customFormat="1" ht="12.75" customHeight="1" x14ac:dyDescent="0.2">
      <c r="C10" s="14"/>
      <c r="D10" s="57"/>
      <c r="E10" s="5" t="s">
        <v>5</v>
      </c>
      <c r="F10" s="7" cm="1">
        <f t="array" ref="F10:L10">_xlfn.XLOOKUP(_xlfn._TRO_TRAILING(F7:AZ7),ProjectList[Project],ProjectList[End])</f>
        <v>46387</v>
      </c>
      <c r="G10" s="7">
        <v>46387</v>
      </c>
      <c r="H10" s="7">
        <v>45688</v>
      </c>
      <c r="I10" s="7">
        <v>46568</v>
      </c>
      <c r="J10" s="7">
        <v>45961</v>
      </c>
      <c r="K10" s="7">
        <v>47149</v>
      </c>
      <c r="L10" s="7">
        <v>47149</v>
      </c>
    </row>
    <row r="11" spans="1:52" ht="12.75" customHeight="1" x14ac:dyDescent="0.2">
      <c r="D11" s="57"/>
      <c r="E11" s="3" t="s">
        <v>14</v>
      </c>
      <c r="F11" t="str" cm="1">
        <f t="array" ref="F11:L11">_xlfn.XLOOKUP(_xlfn._TRO_TRAILING(F7:AZ7),ProjectList[Project],ProjectList[Project Leader])</f>
        <v>Emily Busy</v>
      </c>
      <c r="G11" t="str">
        <v>John Doe</v>
      </c>
      <c r="H11" t="str">
        <v>Mark Overbooked</v>
      </c>
      <c r="I11" t="str">
        <v>John Doe</v>
      </c>
      <c r="J11" t="str">
        <v>Emily Busy</v>
      </c>
      <c r="K11" t="str">
        <v>Emily Busy</v>
      </c>
      <c r="L11" t="str">
        <v>Emily Busy</v>
      </c>
    </row>
    <row r="12" spans="1:52" ht="12.75" customHeight="1" x14ac:dyDescent="0.2">
      <c r="C12" s="55" t="str">
        <f>_xlfn.CONCAT("Max PMs for ",$Z$1)</f>
        <v>Max PMs for 2025</v>
      </c>
      <c r="D12" s="57"/>
      <c r="E12" s="5" t="s">
        <v>34</v>
      </c>
      <c r="F12" t="str" cm="1">
        <f t="array" aca="1" ref="F12:L12" ca="1">_xlfn.XLOOKUP(_xlfn._TRO_TRAILING(F7:AZ7),ProjectList[Project],ProjectList[Status])</f>
        <v>ongoing</v>
      </c>
      <c r="G12" t="str">
        <f ca="1"/>
        <v>ongoing</v>
      </c>
      <c r="H12" t="str">
        <f ca="1"/>
        <v>finished</v>
      </c>
      <c r="I12" t="str">
        <f ca="1"/>
        <v>ongoing</v>
      </c>
      <c r="J12" t="str">
        <f ca="1"/>
        <v>ongoing</v>
      </c>
      <c r="K12" t="str">
        <f ca="1"/>
        <v>ongoing</v>
      </c>
      <c r="L12" t="str">
        <f ca="1"/>
        <v>ongoing</v>
      </c>
    </row>
    <row r="13" spans="1:52" x14ac:dyDescent="0.2">
      <c r="A13" s="2" t="s">
        <v>13</v>
      </c>
      <c r="B13" s="2" t="s">
        <v>8</v>
      </c>
      <c r="C13" s="56"/>
      <c r="D13" s="56"/>
      <c r="E13" s="13" t="str">
        <f>_xlfn.CONCAT("Tot ",Z1)</f>
        <v>Tot 2025</v>
      </c>
      <c r="F13">
        <f t="shared" ref="F13:AZ13" si="0">IF(F7&lt;&gt;0,SUM(F14:F101),"")</f>
        <v>13</v>
      </c>
      <c r="G13">
        <f t="shared" si="0"/>
        <v>22</v>
      </c>
      <c r="H13">
        <f t="shared" si="0"/>
        <v>4</v>
      </c>
      <c r="I13">
        <f>IF(I7&lt;&gt;0,SUM(I14:I101),"")</f>
        <v>10</v>
      </c>
      <c r="J13">
        <f t="shared" si="0"/>
        <v>4</v>
      </c>
      <c r="K13">
        <f t="shared" si="0"/>
        <v>17</v>
      </c>
      <c r="L13">
        <f t="shared" si="0"/>
        <v>18</v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</row>
    <row r="14" spans="1:52" x14ac:dyDescent="0.2">
      <c r="A14" t="str" cm="1">
        <f t="array" ref="A14:A22">_xlfn._xlws.SORT(_xlfn.UNIQUE(_xlfn._xlws.FILTER(Database[Name],
(ISNUMBER(MATCH(Database[Project],_xlfn.ANCHORARRAY(F7),0)))*
(Database[Year]=$Z$1))),
,1)</f>
        <v>Bobby Turner</v>
      </c>
      <c r="B14" t="str" cm="1">
        <f t="array" ref="B14:B22">_xlfn.LET(
_xlpm.a,_xlfn.XLOOKUP(_xlfn._TRO_TRAILING(A14:A100),PersonnelList[Name],PersonnelList[Remark]),
IF(_xlpm.a=0,"",_xlpm.a))</f>
        <v>Only on funded projects</v>
      </c>
      <c r="C14" cm="1">
        <f t="array" ref="C14:C22">_xlfn.LET(
  _xlpm.process_personnel, _xlfn.LAMBDA(_xlpm.PERSON,
    _xlfn.LET(
      _xlpm.person_array, _xlfn._xlws.SORT(_xlfn._xlws.FILTER(WorkRegime[], WorkRegime[Name] = _xlpm.PERSON), 3),
      _xlpm.person_array_year_col, YEAR(_xlfn.CHOOSECOLS(_xlpm.person_array, 3)),
      _xlpm.person_array_filtered, _xlfn._xlws.FILTER(_xlpm.person_array, YEAR(_xlfn.CHOOSECOLS(_xlpm.person_array, 3)) &lt; Z1),
      _xlpm.match_position, IFERROR(MATCH(Z1, _xlpm.person_array_year_col, 0), IF(Z1&gt;MAX(_xlpm.person_array_year_col),"future",IF(Z1&lt;MIN(_xlpm.person_array_year_col),"past","middle"))),
      _xlpm.workregime_yearstart, _xlfn.IFS(
        _xlpm.match_position = "future", INDEX(_xlpm.person_array, ROWS(_xlpm.person_array), 2),
        _xlpm.match_position = "past", 0%,
        _xlpm.match_position = "middle", INDEX(_xlpm.person_array_filtered, ROWS(_xlpm.person_array_filtered),2),
        _xlpm.match_position = 1, 0%,
        TRUE, INDEX(_xlpm.person_array, _xlpm.match_position - 1, 2)),
      _xlpm.person_array_of_that_year, _xlfn._xlws.SORT(_xlfn._xlws.FILTER(WorkRegime[],(WorkRegime[Name]=_xlpm.PERSON)*(YEAR(WorkRegime[Start/Change date])=Z1)),3),
      _xlpm.person_array_date_col, _xlfn.CHOOSECOLS(_xlpm.person_array_of_that_year,3),
      _xlpm.number_of_month_per_workregime_array_mult, ROUND((_xlfn.VSTACK(_xlpm.person_array_date_col,DATE(Z1,12,31))-_xlfn.VSTACK(DATE(Z1,1,1),_xlpm.person_array_date_col)+1)*12/365,1),
      _xlpm.workregime_array_of_that_year, _xlfn.CHOOSECOLS(_xlpm.person_array_of_that_year,2),
      _xlpm.workregime_array_mult, _xlfn.VSTACK(_xlpm.workregime_yearstart,_xlpm.workregime_array_of_that_year),
      IFERROR(SUMPRODUCT(_xlpm.number_of_month_per_workregime_array_mult*_xlpm.workregime_array_mult),_xlpm.workregime_yearstart*12)
    )
  ),
  _xlfn.MAP(_xlfn._TRO_TRAILING(A14:A100), _xlpm.process_personnel)
)</f>
        <v>12</v>
      </c>
      <c r="D14">
        <f>IF(A14=0,"",C14-E14)</f>
        <v>1</v>
      </c>
      <c r="E14">
        <f>IF(A14=0,"",SUM(F14:AZ14))</f>
        <v>11</v>
      </c>
      <c r="F14" s="42">
        <v>1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10</v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</row>
    <row r="15" spans="1:52" x14ac:dyDescent="0.2">
      <c r="A15" s="42" t="str">
        <v>Emily Busy</v>
      </c>
      <c r="B15" t="str">
        <v/>
      </c>
      <c r="C15">
        <v>12</v>
      </c>
      <c r="D15">
        <f t="shared" ref="D15:D78" si="1">IF(A15=0,"",C15-E15)</f>
        <v>0</v>
      </c>
      <c r="E15">
        <f t="shared" ref="E15:E78" si="2">IF(A15=0,"",SUM(F15:AZ15))</f>
        <v>12</v>
      </c>
      <c r="F15" s="42">
        <v>3</v>
      </c>
      <c r="G15" s="42">
        <v>0</v>
      </c>
      <c r="H15" s="42">
        <v>0</v>
      </c>
      <c r="I15" s="42">
        <v>0</v>
      </c>
      <c r="J15" s="42">
        <v>3</v>
      </c>
      <c r="K15" s="42">
        <v>3</v>
      </c>
      <c r="L15" s="42">
        <v>3</v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</row>
    <row r="16" spans="1:52" x14ac:dyDescent="0.2">
      <c r="A16" s="42" t="str">
        <v>Jane Smith</v>
      </c>
      <c r="B16" t="str">
        <v/>
      </c>
      <c r="C16">
        <v>12</v>
      </c>
      <c r="D16">
        <f t="shared" si="1"/>
        <v>1</v>
      </c>
      <c r="E16">
        <f t="shared" si="2"/>
        <v>11</v>
      </c>
      <c r="F16" s="42">
        <v>0</v>
      </c>
      <c r="G16" s="42">
        <v>11</v>
      </c>
      <c r="H16" s="42">
        <v>0</v>
      </c>
      <c r="I16" s="42">
        <v>0</v>
      </c>
      <c r="J16" s="42">
        <v>0</v>
      </c>
      <c r="K16" s="42">
        <v>0</v>
      </c>
      <c r="L16" s="42">
        <v>0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</row>
    <row r="17" spans="1:52" x14ac:dyDescent="0.2">
      <c r="A17" s="42" t="str">
        <v>John Doe</v>
      </c>
      <c r="B17" t="str">
        <v/>
      </c>
      <c r="C17">
        <v>12</v>
      </c>
      <c r="D17">
        <f t="shared" si="1"/>
        <v>1</v>
      </c>
      <c r="E17">
        <f t="shared" si="2"/>
        <v>11</v>
      </c>
      <c r="F17" s="42">
        <v>0</v>
      </c>
      <c r="G17" s="42">
        <v>5</v>
      </c>
      <c r="H17" s="42">
        <v>0</v>
      </c>
      <c r="I17" s="42">
        <v>5</v>
      </c>
      <c r="J17" s="42">
        <v>0</v>
      </c>
      <c r="K17" s="42">
        <v>0</v>
      </c>
      <c r="L17" s="42">
        <v>1</v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</row>
    <row r="18" spans="1:52" x14ac:dyDescent="0.2">
      <c r="A18" s="42" t="str">
        <v>Julianna Bright</v>
      </c>
      <c r="B18" t="str">
        <v/>
      </c>
      <c r="C18">
        <v>6</v>
      </c>
      <c r="D18">
        <f t="shared" si="1"/>
        <v>1</v>
      </c>
      <c r="E18">
        <f t="shared" si="2"/>
        <v>5</v>
      </c>
      <c r="F18" s="42">
        <v>0</v>
      </c>
      <c r="G18" s="42">
        <v>0</v>
      </c>
      <c r="H18" s="42">
        <v>0</v>
      </c>
      <c r="I18" s="42">
        <v>5</v>
      </c>
      <c r="J18" s="42">
        <v>0</v>
      </c>
      <c r="K18" s="42">
        <v>0</v>
      </c>
      <c r="L18" s="42">
        <v>0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</row>
    <row r="19" spans="1:52" x14ac:dyDescent="0.2">
      <c r="A19" s="42" t="str">
        <v>Laura Hills</v>
      </c>
      <c r="B19" t="str">
        <v/>
      </c>
      <c r="C19">
        <v>10.1</v>
      </c>
      <c r="D19">
        <f t="shared" si="1"/>
        <v>2.0999999999999996</v>
      </c>
      <c r="E19">
        <f t="shared" si="2"/>
        <v>8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4</v>
      </c>
      <c r="L19" s="42">
        <v>4</v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</row>
    <row r="20" spans="1:52" x14ac:dyDescent="0.2">
      <c r="A20" s="42" t="str">
        <v>Lily Fernandez</v>
      </c>
      <c r="B20" t="str">
        <v/>
      </c>
      <c r="C20">
        <v>9.6000000000000014</v>
      </c>
      <c r="D20">
        <f t="shared" si="1"/>
        <v>1.6000000000000014</v>
      </c>
      <c r="E20">
        <f t="shared" si="2"/>
        <v>8</v>
      </c>
      <c r="F20" s="42">
        <v>8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</row>
    <row r="21" spans="1:52" x14ac:dyDescent="0.2">
      <c r="A21" s="42" t="str">
        <v>Mark Overbooked</v>
      </c>
      <c r="B21" t="str">
        <v/>
      </c>
      <c r="C21">
        <v>12</v>
      </c>
      <c r="D21">
        <f t="shared" si="1"/>
        <v>0</v>
      </c>
      <c r="E21">
        <f t="shared" si="2"/>
        <v>12</v>
      </c>
      <c r="F21" s="42">
        <v>1</v>
      </c>
      <c r="G21" s="42">
        <v>1</v>
      </c>
      <c r="H21" s="42">
        <v>1</v>
      </c>
      <c r="I21" s="42">
        <v>0</v>
      </c>
      <c r="J21" s="42">
        <v>1</v>
      </c>
      <c r="K21" s="42">
        <v>8</v>
      </c>
      <c r="L21" s="42">
        <v>0</v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</row>
    <row r="22" spans="1:52" x14ac:dyDescent="0.2">
      <c r="A22" s="42" t="str">
        <v>Paul Greenfield</v>
      </c>
      <c r="B22" t="str">
        <v/>
      </c>
      <c r="C22">
        <v>12</v>
      </c>
      <c r="D22">
        <f t="shared" si="1"/>
        <v>2</v>
      </c>
      <c r="E22">
        <f t="shared" si="2"/>
        <v>10</v>
      </c>
      <c r="F22" s="42">
        <v>0</v>
      </c>
      <c r="G22" s="42">
        <v>5</v>
      </c>
      <c r="H22" s="42">
        <v>3</v>
      </c>
      <c r="I22" s="42">
        <v>0</v>
      </c>
      <c r="J22" s="42">
        <v>0</v>
      </c>
      <c r="K22" s="42">
        <v>2</v>
      </c>
      <c r="L22" s="42">
        <v>0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</row>
    <row r="23" spans="1:52" x14ac:dyDescent="0.2">
      <c r="A23" s="42"/>
      <c r="D23" t="str">
        <f t="shared" si="1"/>
        <v/>
      </c>
      <c r="E23" t="str">
        <f t="shared" si="2"/>
        <v/>
      </c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</row>
    <row r="24" spans="1:52" x14ac:dyDescent="0.2">
      <c r="A24" s="42"/>
      <c r="D24" t="str">
        <f t="shared" si="1"/>
        <v/>
      </c>
      <c r="E24" t="str">
        <f t="shared" si="2"/>
        <v/>
      </c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</row>
    <row r="25" spans="1:52" x14ac:dyDescent="0.2">
      <c r="A25" s="42"/>
      <c r="D25" t="str">
        <f t="shared" si="1"/>
        <v/>
      </c>
      <c r="E25" t="str">
        <f t="shared" si="2"/>
        <v/>
      </c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</row>
    <row r="26" spans="1:52" x14ac:dyDescent="0.2">
      <c r="A26" s="42"/>
      <c r="D26" t="str">
        <f t="shared" si="1"/>
        <v/>
      </c>
      <c r="E26" t="str">
        <f t="shared" si="2"/>
        <v/>
      </c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</row>
    <row r="27" spans="1:52" x14ac:dyDescent="0.2">
      <c r="A27" s="42"/>
      <c r="D27" t="str">
        <f t="shared" si="1"/>
        <v/>
      </c>
      <c r="E27" t="str">
        <f t="shared" si="2"/>
        <v/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</row>
    <row r="28" spans="1:52" x14ac:dyDescent="0.2">
      <c r="A28" s="42"/>
      <c r="D28" t="str">
        <f t="shared" si="1"/>
        <v/>
      </c>
      <c r="E28" t="str">
        <f t="shared" si="2"/>
        <v/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</row>
    <row r="29" spans="1:52" x14ac:dyDescent="0.2">
      <c r="A29" s="42"/>
      <c r="D29" t="str">
        <f t="shared" si="1"/>
        <v/>
      </c>
      <c r="E29" t="str">
        <f t="shared" si="2"/>
        <v/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</row>
    <row r="30" spans="1:52" x14ac:dyDescent="0.2">
      <c r="A30" s="42"/>
      <c r="D30" t="str">
        <f t="shared" si="1"/>
        <v/>
      </c>
      <c r="E30" t="str">
        <f t="shared" si="2"/>
        <v/>
      </c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</row>
    <row r="31" spans="1:52" x14ac:dyDescent="0.2">
      <c r="A31" s="42"/>
      <c r="D31" t="str">
        <f t="shared" si="1"/>
        <v/>
      </c>
      <c r="E31" t="str">
        <f t="shared" si="2"/>
        <v/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</row>
    <row r="32" spans="1:52" x14ac:dyDescent="0.2">
      <c r="A32" s="42"/>
      <c r="D32" t="str">
        <f t="shared" si="1"/>
        <v/>
      </c>
      <c r="E32" t="str">
        <f t="shared" si="2"/>
        <v/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</row>
    <row r="33" spans="1:52" x14ac:dyDescent="0.2">
      <c r="A33" s="42"/>
      <c r="D33" t="str">
        <f t="shared" si="1"/>
        <v/>
      </c>
      <c r="E33" t="str">
        <f t="shared" si="2"/>
        <v/>
      </c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</row>
    <row r="34" spans="1:52" x14ac:dyDescent="0.2">
      <c r="A34" s="42"/>
      <c r="D34" t="str">
        <f t="shared" si="1"/>
        <v/>
      </c>
      <c r="E34" t="str">
        <f t="shared" si="2"/>
        <v/>
      </c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</row>
    <row r="35" spans="1:52" x14ac:dyDescent="0.2">
      <c r="A35" s="42"/>
      <c r="D35" t="str">
        <f t="shared" si="1"/>
        <v/>
      </c>
      <c r="E35" t="str">
        <f t="shared" si="2"/>
        <v/>
      </c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</row>
    <row r="36" spans="1:52" x14ac:dyDescent="0.2">
      <c r="A36" s="42"/>
      <c r="D36" t="str">
        <f t="shared" si="1"/>
        <v/>
      </c>
      <c r="E36" t="str">
        <f t="shared" si="2"/>
        <v/>
      </c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</row>
    <row r="37" spans="1:52" x14ac:dyDescent="0.2">
      <c r="A37" s="42"/>
      <c r="D37" t="str">
        <f t="shared" si="1"/>
        <v/>
      </c>
      <c r="E37" t="str">
        <f t="shared" si="2"/>
        <v/>
      </c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</row>
    <row r="38" spans="1:52" x14ac:dyDescent="0.2">
      <c r="A38" s="42"/>
      <c r="D38" t="str">
        <f t="shared" si="1"/>
        <v/>
      </c>
      <c r="E38" t="str">
        <f t="shared" si="2"/>
        <v/>
      </c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</row>
    <row r="39" spans="1:52" x14ac:dyDescent="0.2">
      <c r="A39" s="42"/>
      <c r="D39" t="str">
        <f t="shared" si="1"/>
        <v/>
      </c>
      <c r="E39" t="str">
        <f t="shared" si="2"/>
        <v/>
      </c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</row>
    <row r="40" spans="1:52" x14ac:dyDescent="0.2">
      <c r="A40" s="42"/>
      <c r="D40" t="str">
        <f t="shared" si="1"/>
        <v/>
      </c>
      <c r="E40" t="str">
        <f t="shared" si="2"/>
        <v/>
      </c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</row>
    <row r="41" spans="1:52" x14ac:dyDescent="0.2">
      <c r="A41" s="42"/>
      <c r="D41" t="str">
        <f t="shared" si="1"/>
        <v/>
      </c>
      <c r="E41" t="str">
        <f t="shared" si="2"/>
        <v/>
      </c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</row>
    <row r="42" spans="1:52" x14ac:dyDescent="0.2">
      <c r="A42" s="42"/>
      <c r="D42" t="str">
        <f t="shared" si="1"/>
        <v/>
      </c>
      <c r="E42" t="str">
        <f t="shared" si="2"/>
        <v/>
      </c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</row>
    <row r="43" spans="1:52" x14ac:dyDescent="0.2">
      <c r="A43" s="42"/>
      <c r="D43" t="str">
        <f t="shared" si="1"/>
        <v/>
      </c>
      <c r="E43" t="str">
        <f t="shared" si="2"/>
        <v/>
      </c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</row>
    <row r="44" spans="1:52" x14ac:dyDescent="0.2">
      <c r="A44" s="42"/>
      <c r="D44" t="str">
        <f t="shared" si="1"/>
        <v/>
      </c>
      <c r="E44" t="str">
        <f t="shared" si="2"/>
        <v/>
      </c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</row>
    <row r="45" spans="1:52" x14ac:dyDescent="0.2">
      <c r="A45" s="42"/>
      <c r="D45" t="str">
        <f t="shared" si="1"/>
        <v/>
      </c>
      <c r="E45" t="str">
        <f t="shared" si="2"/>
        <v/>
      </c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</row>
    <row r="46" spans="1:52" x14ac:dyDescent="0.2">
      <c r="A46" s="42"/>
      <c r="D46" t="str">
        <f t="shared" si="1"/>
        <v/>
      </c>
      <c r="E46" t="str">
        <f t="shared" si="2"/>
        <v/>
      </c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</row>
    <row r="47" spans="1:52" x14ac:dyDescent="0.2">
      <c r="A47" s="42"/>
      <c r="D47" t="str">
        <f t="shared" si="1"/>
        <v/>
      </c>
      <c r="E47" t="str">
        <f t="shared" si="2"/>
        <v/>
      </c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</row>
    <row r="48" spans="1:52" x14ac:dyDescent="0.2">
      <c r="A48" s="42"/>
      <c r="D48" t="str">
        <f t="shared" si="1"/>
        <v/>
      </c>
      <c r="E48" t="str">
        <f t="shared" si="2"/>
        <v/>
      </c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</row>
    <row r="49" spans="1:52" x14ac:dyDescent="0.2">
      <c r="A49" s="42"/>
      <c r="D49" t="str">
        <f t="shared" si="1"/>
        <v/>
      </c>
      <c r="E49" t="str">
        <f t="shared" si="2"/>
        <v/>
      </c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</row>
    <row r="50" spans="1:52" x14ac:dyDescent="0.2">
      <c r="A50" s="42"/>
      <c r="D50" t="str">
        <f t="shared" si="1"/>
        <v/>
      </c>
      <c r="E50" t="str">
        <f t="shared" si="2"/>
        <v/>
      </c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</row>
    <row r="51" spans="1:52" x14ac:dyDescent="0.2">
      <c r="A51" s="42"/>
      <c r="D51" t="str">
        <f t="shared" si="1"/>
        <v/>
      </c>
      <c r="E51" t="str">
        <f t="shared" si="2"/>
        <v/>
      </c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</row>
    <row r="52" spans="1:52" x14ac:dyDescent="0.2">
      <c r="A52" s="42"/>
      <c r="D52" t="str">
        <f t="shared" si="1"/>
        <v/>
      </c>
      <c r="E52" t="str">
        <f t="shared" si="2"/>
        <v/>
      </c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</row>
    <row r="53" spans="1:52" x14ac:dyDescent="0.2">
      <c r="A53" s="42"/>
      <c r="D53" t="str">
        <f t="shared" si="1"/>
        <v/>
      </c>
      <c r="E53" t="str">
        <f t="shared" si="2"/>
        <v/>
      </c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</row>
    <row r="54" spans="1:52" x14ac:dyDescent="0.2">
      <c r="A54" s="42"/>
      <c r="D54" t="str">
        <f t="shared" si="1"/>
        <v/>
      </c>
      <c r="E54" t="str">
        <f t="shared" si="2"/>
        <v/>
      </c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</row>
    <row r="55" spans="1:52" x14ac:dyDescent="0.2">
      <c r="A55" s="42"/>
      <c r="D55" t="str">
        <f t="shared" si="1"/>
        <v/>
      </c>
      <c r="E55" t="str">
        <f t="shared" si="2"/>
        <v/>
      </c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</row>
    <row r="56" spans="1:52" x14ac:dyDescent="0.2">
      <c r="A56" s="42"/>
      <c r="D56" t="str">
        <f t="shared" si="1"/>
        <v/>
      </c>
      <c r="E56" t="str">
        <f t="shared" si="2"/>
        <v/>
      </c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</row>
    <row r="57" spans="1:52" x14ac:dyDescent="0.2">
      <c r="A57" s="42"/>
      <c r="D57" t="str">
        <f t="shared" si="1"/>
        <v/>
      </c>
      <c r="E57" t="str">
        <f t="shared" si="2"/>
        <v/>
      </c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</row>
    <row r="58" spans="1:52" x14ac:dyDescent="0.2">
      <c r="A58" s="42"/>
      <c r="D58" t="str">
        <f t="shared" si="1"/>
        <v/>
      </c>
      <c r="E58" t="str">
        <f t="shared" si="2"/>
        <v/>
      </c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</row>
    <row r="59" spans="1:52" x14ac:dyDescent="0.2">
      <c r="A59" s="42"/>
      <c r="D59" t="str">
        <f t="shared" si="1"/>
        <v/>
      </c>
      <c r="E59" t="str">
        <f t="shared" si="2"/>
        <v/>
      </c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</row>
    <row r="60" spans="1:52" x14ac:dyDescent="0.2">
      <c r="A60" s="42"/>
      <c r="D60" t="str">
        <f t="shared" si="1"/>
        <v/>
      </c>
      <c r="E60" t="str">
        <f t="shared" si="2"/>
        <v/>
      </c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</row>
    <row r="61" spans="1:52" x14ac:dyDescent="0.2">
      <c r="A61" s="42"/>
      <c r="D61" t="str">
        <f t="shared" si="1"/>
        <v/>
      </c>
      <c r="E61" t="str">
        <f t="shared" si="2"/>
        <v/>
      </c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</row>
    <row r="62" spans="1:52" x14ac:dyDescent="0.2">
      <c r="A62" s="42"/>
      <c r="D62" t="str">
        <f t="shared" si="1"/>
        <v/>
      </c>
      <c r="E62" t="str">
        <f t="shared" si="2"/>
        <v/>
      </c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</row>
    <row r="63" spans="1:52" x14ac:dyDescent="0.2">
      <c r="A63" s="42"/>
      <c r="D63" t="str">
        <f t="shared" si="1"/>
        <v/>
      </c>
      <c r="E63" t="str">
        <f t="shared" si="2"/>
        <v/>
      </c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</row>
    <row r="64" spans="1:52" x14ac:dyDescent="0.2">
      <c r="A64" s="42"/>
      <c r="D64" t="str">
        <f t="shared" si="1"/>
        <v/>
      </c>
      <c r="E64" t="str">
        <f t="shared" si="2"/>
        <v/>
      </c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</row>
    <row r="65" spans="1:52" x14ac:dyDescent="0.2">
      <c r="A65" s="42"/>
      <c r="D65" t="str">
        <f t="shared" si="1"/>
        <v/>
      </c>
      <c r="E65" t="str">
        <f t="shared" si="2"/>
        <v/>
      </c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</row>
    <row r="66" spans="1:52" x14ac:dyDescent="0.2">
      <c r="A66" s="42"/>
      <c r="D66" t="str">
        <f t="shared" si="1"/>
        <v/>
      </c>
      <c r="E66" t="str">
        <f t="shared" si="2"/>
        <v/>
      </c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</row>
    <row r="67" spans="1:52" x14ac:dyDescent="0.2">
      <c r="A67" s="42"/>
      <c r="D67" t="str">
        <f t="shared" si="1"/>
        <v/>
      </c>
      <c r="E67" t="str">
        <f t="shared" si="2"/>
        <v/>
      </c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</row>
    <row r="68" spans="1:52" x14ac:dyDescent="0.2">
      <c r="A68" s="42"/>
      <c r="D68" t="str">
        <f t="shared" si="1"/>
        <v/>
      </c>
      <c r="E68" t="str">
        <f t="shared" si="2"/>
        <v/>
      </c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</row>
    <row r="69" spans="1:52" x14ac:dyDescent="0.2">
      <c r="A69" s="42"/>
      <c r="D69" t="str">
        <f t="shared" si="1"/>
        <v/>
      </c>
      <c r="E69" t="str">
        <f t="shared" si="2"/>
        <v/>
      </c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</row>
    <row r="70" spans="1:52" x14ac:dyDescent="0.2">
      <c r="A70" s="42"/>
      <c r="D70" t="str">
        <f t="shared" si="1"/>
        <v/>
      </c>
      <c r="E70" t="str">
        <f t="shared" si="2"/>
        <v/>
      </c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</row>
    <row r="71" spans="1:52" x14ac:dyDescent="0.2">
      <c r="A71" s="42"/>
      <c r="D71" t="str">
        <f t="shared" si="1"/>
        <v/>
      </c>
      <c r="E71" t="str">
        <f t="shared" si="2"/>
        <v/>
      </c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</row>
    <row r="72" spans="1:52" x14ac:dyDescent="0.2">
      <c r="A72" s="42"/>
      <c r="D72" t="str">
        <f t="shared" si="1"/>
        <v/>
      </c>
      <c r="E72" t="str">
        <f t="shared" si="2"/>
        <v/>
      </c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</row>
    <row r="73" spans="1:52" x14ac:dyDescent="0.2">
      <c r="A73" s="42"/>
      <c r="E73" t="str">
        <f t="shared" si="2"/>
        <v/>
      </c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</row>
    <row r="74" spans="1:52" x14ac:dyDescent="0.2">
      <c r="A74" s="42"/>
      <c r="D74" t="str">
        <f t="shared" si="1"/>
        <v/>
      </c>
      <c r="E74" t="str">
        <f t="shared" si="2"/>
        <v/>
      </c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</row>
    <row r="75" spans="1:52" x14ac:dyDescent="0.2">
      <c r="A75" s="42"/>
      <c r="D75" t="str">
        <f t="shared" si="1"/>
        <v/>
      </c>
      <c r="E75" t="str">
        <f t="shared" si="2"/>
        <v/>
      </c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</row>
    <row r="76" spans="1:52" x14ac:dyDescent="0.2">
      <c r="A76" s="42"/>
      <c r="D76" t="str">
        <f t="shared" si="1"/>
        <v/>
      </c>
      <c r="E76" t="str">
        <f t="shared" si="2"/>
        <v/>
      </c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</row>
    <row r="77" spans="1:52" x14ac:dyDescent="0.2">
      <c r="A77" s="42"/>
      <c r="D77" t="str">
        <f t="shared" si="1"/>
        <v/>
      </c>
      <c r="E77" t="str">
        <f t="shared" si="2"/>
        <v/>
      </c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</row>
    <row r="78" spans="1:52" x14ac:dyDescent="0.2">
      <c r="A78" s="42"/>
      <c r="D78" t="str">
        <f t="shared" si="1"/>
        <v/>
      </c>
      <c r="E78" t="str">
        <f t="shared" si="2"/>
        <v/>
      </c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</row>
    <row r="79" spans="1:52" x14ac:dyDescent="0.2">
      <c r="A79" s="42"/>
      <c r="D79" t="str">
        <f t="shared" ref="D79:D101" si="3">IF(A79=0,"",C79-E79)</f>
        <v/>
      </c>
      <c r="E79" t="str">
        <f t="shared" ref="E79:E101" si="4">IF(A79=0,"",SUM(F79:AZ79))</f>
        <v/>
      </c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</row>
    <row r="80" spans="1:52" x14ac:dyDescent="0.2">
      <c r="A80" s="42"/>
      <c r="D80" t="str">
        <f t="shared" si="3"/>
        <v/>
      </c>
      <c r="E80" t="str">
        <f t="shared" si="4"/>
        <v/>
      </c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</row>
    <row r="81" spans="1:52" x14ac:dyDescent="0.2">
      <c r="A81" s="42"/>
      <c r="D81" t="str">
        <f t="shared" si="3"/>
        <v/>
      </c>
      <c r="E81" t="str">
        <f t="shared" si="4"/>
        <v/>
      </c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</row>
    <row r="82" spans="1:52" x14ac:dyDescent="0.2">
      <c r="A82" s="42"/>
      <c r="D82" t="str">
        <f t="shared" si="3"/>
        <v/>
      </c>
      <c r="E82" t="str">
        <f t="shared" si="4"/>
        <v/>
      </c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</row>
    <row r="83" spans="1:52" x14ac:dyDescent="0.2">
      <c r="A83" s="42"/>
      <c r="D83" t="str">
        <f t="shared" si="3"/>
        <v/>
      </c>
      <c r="E83" t="str">
        <f t="shared" si="4"/>
        <v/>
      </c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</row>
    <row r="84" spans="1:52" x14ac:dyDescent="0.2">
      <c r="A84" s="42"/>
      <c r="D84" t="str">
        <f t="shared" si="3"/>
        <v/>
      </c>
      <c r="E84" t="str">
        <f t="shared" si="4"/>
        <v/>
      </c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</row>
    <row r="85" spans="1:52" x14ac:dyDescent="0.2">
      <c r="A85" s="42"/>
      <c r="D85" t="str">
        <f t="shared" si="3"/>
        <v/>
      </c>
      <c r="E85" t="str">
        <f t="shared" si="4"/>
        <v/>
      </c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</row>
    <row r="86" spans="1:52" x14ac:dyDescent="0.2">
      <c r="A86" s="42"/>
      <c r="D86" t="str">
        <f t="shared" si="3"/>
        <v/>
      </c>
      <c r="E86" t="str">
        <f t="shared" si="4"/>
        <v/>
      </c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</row>
    <row r="87" spans="1:52" x14ac:dyDescent="0.2">
      <c r="A87" s="42"/>
      <c r="D87" t="str">
        <f t="shared" si="3"/>
        <v/>
      </c>
      <c r="E87" t="str">
        <f t="shared" si="4"/>
        <v/>
      </c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</row>
    <row r="88" spans="1:52" x14ac:dyDescent="0.2">
      <c r="A88" s="42"/>
      <c r="D88" t="str">
        <f t="shared" si="3"/>
        <v/>
      </c>
      <c r="E88" t="str">
        <f t="shared" si="4"/>
        <v/>
      </c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</row>
    <row r="89" spans="1:52" x14ac:dyDescent="0.2">
      <c r="A89" s="42"/>
      <c r="D89" t="str">
        <f t="shared" si="3"/>
        <v/>
      </c>
      <c r="E89" t="str">
        <f t="shared" si="4"/>
        <v/>
      </c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</row>
    <row r="90" spans="1:52" x14ac:dyDescent="0.2">
      <c r="A90" s="42"/>
      <c r="D90" t="str">
        <f t="shared" si="3"/>
        <v/>
      </c>
      <c r="E90" t="str">
        <f t="shared" si="4"/>
        <v/>
      </c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</row>
    <row r="91" spans="1:52" x14ac:dyDescent="0.2">
      <c r="A91" s="42"/>
      <c r="D91" t="str">
        <f t="shared" si="3"/>
        <v/>
      </c>
      <c r="E91" t="str">
        <f t="shared" si="4"/>
        <v/>
      </c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</row>
    <row r="92" spans="1:52" x14ac:dyDescent="0.2">
      <c r="A92" s="42"/>
      <c r="D92" t="str">
        <f t="shared" si="3"/>
        <v/>
      </c>
      <c r="E92" t="str">
        <f t="shared" si="4"/>
        <v/>
      </c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</row>
    <row r="93" spans="1:52" x14ac:dyDescent="0.2">
      <c r="A93" s="42"/>
      <c r="D93" t="str">
        <f t="shared" si="3"/>
        <v/>
      </c>
      <c r="E93" t="str">
        <f t="shared" si="4"/>
        <v/>
      </c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</row>
    <row r="94" spans="1:52" x14ac:dyDescent="0.2">
      <c r="A94" s="42"/>
      <c r="D94" t="str">
        <f t="shared" si="3"/>
        <v/>
      </c>
      <c r="E94" t="str">
        <f t="shared" si="4"/>
        <v/>
      </c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</row>
    <row r="95" spans="1:52" x14ac:dyDescent="0.2">
      <c r="A95" s="42"/>
      <c r="D95" t="str">
        <f t="shared" si="3"/>
        <v/>
      </c>
      <c r="E95" t="str">
        <f t="shared" si="4"/>
        <v/>
      </c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</row>
    <row r="96" spans="1:52" x14ac:dyDescent="0.2">
      <c r="A96" s="42"/>
      <c r="D96" t="str">
        <f t="shared" si="3"/>
        <v/>
      </c>
      <c r="E96" t="str">
        <f t="shared" si="4"/>
        <v/>
      </c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</row>
    <row r="97" spans="1:52" x14ac:dyDescent="0.2">
      <c r="A97" s="42"/>
      <c r="D97" t="str">
        <f t="shared" si="3"/>
        <v/>
      </c>
      <c r="E97" t="str">
        <f t="shared" si="4"/>
        <v/>
      </c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</row>
    <row r="98" spans="1:52" x14ac:dyDescent="0.2">
      <c r="A98" s="42"/>
      <c r="D98" t="str">
        <f t="shared" si="3"/>
        <v/>
      </c>
      <c r="E98" t="str">
        <f t="shared" si="4"/>
        <v/>
      </c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</row>
    <row r="99" spans="1:52" x14ac:dyDescent="0.2">
      <c r="A99" s="42"/>
      <c r="D99" t="str">
        <f t="shared" si="3"/>
        <v/>
      </c>
      <c r="E99" t="str">
        <f t="shared" si="4"/>
        <v/>
      </c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</row>
    <row r="100" spans="1:52" x14ac:dyDescent="0.2">
      <c r="A100" s="42"/>
      <c r="D100" t="str">
        <f t="shared" si="3"/>
        <v/>
      </c>
      <c r="E100" t="str">
        <f t="shared" si="4"/>
        <v/>
      </c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</row>
    <row r="101" spans="1:52" x14ac:dyDescent="0.2">
      <c r="D101" t="str">
        <f t="shared" si="3"/>
        <v/>
      </c>
      <c r="E101" t="str">
        <f t="shared" si="4"/>
        <v/>
      </c>
    </row>
  </sheetData>
  <sheetProtection algorithmName="SHA-512" hashValue="eCw7Y+YZf4stXVqYK/WFE1mHcZk751il5lDQI1l3rsvx3W9CpxDiIctIzI9m7Cq4rdtH6nLjqVriDxp7652ELg==" saltValue="RqS+olnwWqc63B/oT7G+qQ==" spinCount="100000" sheet="1" objects="1" scenarios="1"/>
  <mergeCells count="3">
    <mergeCell ref="F6:H6"/>
    <mergeCell ref="C12:C13"/>
    <mergeCell ref="D9:D13"/>
  </mergeCells>
  <conditionalFormatting sqref="F7:AZ7">
    <cfRule type="cellIs" dxfId="50" priority="4" operator="notEqual">
      <formula>0</formula>
    </cfRule>
  </conditionalFormatting>
  <conditionalFormatting sqref="F8:AZ10">
    <cfRule type="expression" dxfId="49" priority="2">
      <formula>F$7&lt;&gt;0</formula>
    </cfRule>
  </conditionalFormatting>
  <conditionalFormatting sqref="F11:AZ11">
    <cfRule type="expression" dxfId="48" priority="6">
      <formula>F$7&lt;&gt;0</formula>
    </cfRule>
  </conditionalFormatting>
  <conditionalFormatting sqref="F13:AZ13">
    <cfRule type="expression" dxfId="47" priority="7">
      <formula>F$7&lt;&gt;0</formula>
    </cfRule>
  </conditionalFormatting>
  <conditionalFormatting sqref="F14:AZ72 F74:AZ101">
    <cfRule type="expression" dxfId="46" priority="10">
      <formula>AND(F$7&lt;&gt;0,$A14&lt;&gt;0)</formula>
    </cfRule>
  </conditionalFormatting>
  <conditionalFormatting sqref="E14:E101">
    <cfRule type="expression" dxfId="45" priority="11">
      <formula>$A14&lt;&gt;0</formula>
    </cfRule>
  </conditionalFormatting>
  <conditionalFormatting sqref="B14:D101 F73:AZ73">
    <cfRule type="expression" dxfId="44" priority="9">
      <formula>$A14&lt;&gt;0</formula>
    </cfRule>
  </conditionalFormatting>
  <conditionalFormatting sqref="A14:A101">
    <cfRule type="cellIs" dxfId="43" priority="8" operator="notEqual">
      <formula>0</formula>
    </cfRule>
  </conditionalFormatting>
  <conditionalFormatting sqref="F73:G73 I73:J73 L73:M73 O73:P73 R73:S73 U73:V73 X73:Y73 AA73:AB73 AD73:AE73 AG73:AH73 AJ73:AK73 AM73:AN73 AP73:AQ73 AS73:AT73 AV73:AW73 AY73:AZ73 C14:E101">
    <cfRule type="expression" dxfId="42" priority="12">
      <formula>$D14&lt;0</formula>
    </cfRule>
  </conditionalFormatting>
  <conditionalFormatting sqref="I6:AZ6">
    <cfRule type="cellIs" dxfId="41" priority="3" operator="greaterThan">
      <formula>0</formula>
    </cfRule>
  </conditionalFormatting>
  <conditionalFormatting sqref="F7:AZ12">
    <cfRule type="expression" dxfId="40" priority="1">
      <formula>AND(F$7&lt;&gt;0,OR(YEAR(F$9)&gt;$Z$1,YEAR(F$10)&lt;$Z$1))</formula>
    </cfRule>
  </conditionalFormatting>
  <conditionalFormatting sqref="F12:AZ12">
    <cfRule type="expression" dxfId="39" priority="5">
      <formula>F$7&lt;&gt;0</formula>
    </cfRule>
  </conditionalFormatting>
  <dataValidations count="2">
    <dataValidation type="list" allowBlank="1" showInputMessage="1" showErrorMessage="1" sqref="F7:V7" xr:uid="{B2B76714-40AC-4C80-A03B-A9C2EF4EB152}">
      <formula1>ProjectListDropDown</formula1>
    </dataValidation>
    <dataValidation type="list" allowBlank="1" showInputMessage="1" showErrorMessage="1" sqref="A14:A100" xr:uid="{164E39E7-6DA2-4170-AF32-84CA7258D2A3}">
      <formula1>PersonnelListDropDown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4A9E2-D406-44DF-AB40-5E698E43AD76}">
  <sheetPr codeName="Sheet12">
    <tabColor rgb="FF009999"/>
  </sheetPr>
  <dimension ref="A1:Z71"/>
  <sheetViews>
    <sheetView workbookViewId="0">
      <selection activeCell="C9" sqref="C9"/>
    </sheetView>
  </sheetViews>
  <sheetFormatPr defaultRowHeight="12.75" x14ac:dyDescent="0.2"/>
  <cols>
    <col min="1" max="1" width="21.7109375" customWidth="1"/>
    <col min="2" max="2" width="28.28515625" customWidth="1"/>
    <col min="3" max="3" width="16" customWidth="1"/>
    <col min="4" max="11" width="14.140625" customWidth="1"/>
    <col min="12" max="12" width="15.7109375" style="1" customWidth="1"/>
    <col min="13" max="21" width="14.140625" customWidth="1"/>
  </cols>
  <sheetData>
    <row r="1" spans="1:26" ht="42.75" customHeight="1" x14ac:dyDescent="0.2">
      <c r="A1" s="11" t="s">
        <v>24</v>
      </c>
      <c r="B1" s="44" t="s">
        <v>44</v>
      </c>
      <c r="Z1" s="49" t="s">
        <v>44</v>
      </c>
    </row>
    <row r="5" spans="1:26" ht="9.75" customHeight="1" x14ac:dyDescent="0.2"/>
    <row r="6" spans="1:26" ht="42" customHeight="1" x14ac:dyDescent="0.2">
      <c r="A6" s="11"/>
      <c r="B6" s="30" t="str">
        <f>_xlfn.CONCAT("Displayed project :
"&amp;Z1)</f>
        <v>Displayed project :
Rebirth</v>
      </c>
      <c r="D6" s="54" t="str">
        <f>IF(G6=0,"","It seems there is an overbooking for the following persons, please check their details in the personnel tab to identify the problematic year:")</f>
        <v>It seems there is an overbooking for the following persons, please check their details in the personnel tab to identify the problematic year:</v>
      </c>
      <c r="E6" s="54"/>
      <c r="F6" s="54"/>
      <c r="G6" s="22" t="str" cm="1">
        <f t="array" ref="G6:H6">IFERROR(TRANSPOSE(_xlfn._xlws.FILTER(_xlfn.ANCHORARRAY('Error checks'!$A$2),_xlfn.BYROW(_xlfn.ANCHORARRAY('Error checks'!$B$2),_xlfn.LAMBDA(_xlpm.a,_xlfn.AGGREGATE(9,2,_xlpm.a)))&lt;COUNT(_xlfn.ANCHORARRAY('Error checks'!$B$1)))),0)</f>
        <v>Mark Overbooked</v>
      </c>
      <c r="H6" s="21" t="str">
        <v>Emily Busy</v>
      </c>
      <c r="I6" s="21"/>
      <c r="J6" s="21"/>
      <c r="K6" s="20"/>
      <c r="L6" s="21"/>
      <c r="M6" s="20"/>
      <c r="N6" s="20"/>
      <c r="O6" s="20"/>
      <c r="P6" s="20"/>
      <c r="Q6" s="20"/>
      <c r="R6" s="20"/>
      <c r="S6" s="20"/>
      <c r="T6" s="20"/>
      <c r="U6" s="20"/>
    </row>
    <row r="7" spans="1:26" x14ac:dyDescent="0.2">
      <c r="A7" s="5" t="s">
        <v>74</v>
      </c>
      <c r="B7" s="45" t="s">
        <v>73</v>
      </c>
    </row>
    <row r="8" spans="1:26" ht="12.75" customHeight="1" x14ac:dyDescent="0.2">
      <c r="A8" s="4" t="s">
        <v>4</v>
      </c>
      <c r="B8" s="50">
        <v>43922</v>
      </c>
    </row>
    <row r="9" spans="1:26" ht="12.75" customHeight="1" x14ac:dyDescent="0.2">
      <c r="A9" s="4" t="s">
        <v>5</v>
      </c>
      <c r="B9" s="50">
        <v>45016</v>
      </c>
      <c r="G9" s="12"/>
    </row>
    <row r="10" spans="1:26" s="7" customFormat="1" ht="12.75" customHeight="1" x14ac:dyDescent="0.2">
      <c r="A10" s="3" t="s">
        <v>6</v>
      </c>
      <c r="B10" s="53" t="s">
        <v>45</v>
      </c>
      <c r="L10" s="8"/>
    </row>
    <row r="11" spans="1:26" s="7" customFormat="1" ht="12.75" customHeight="1" x14ac:dyDescent="0.2">
      <c r="A11" s="5" t="s">
        <v>34</v>
      </c>
      <c r="B11" s="45" t="s">
        <v>43</v>
      </c>
      <c r="L11" s="8"/>
    </row>
    <row r="12" spans="1:26" s="7" customFormat="1" ht="12.75" customHeight="1" x14ac:dyDescent="0.2">
      <c r="A12" s="16" t="s">
        <v>18</v>
      </c>
      <c r="B12" s="51">
        <v>100</v>
      </c>
      <c r="L12" s="8"/>
    </row>
    <row r="13" spans="1:26" s="7" customFormat="1" ht="12.75" customHeight="1" x14ac:dyDescent="0.2">
      <c r="A13" s="29" t="s">
        <v>17</v>
      </c>
      <c r="B13" s="17">
        <f>SUMIF(Database[Project],$Z$1,Database[PMs])</f>
        <v>102</v>
      </c>
      <c r="L13" s="8"/>
    </row>
    <row r="14" spans="1:26" s="7" customFormat="1" ht="12.75" customHeight="1" x14ac:dyDescent="0.2">
      <c r="A14" s="29" t="s">
        <v>19</v>
      </c>
      <c r="B14" s="17">
        <f>B13-B12</f>
        <v>2</v>
      </c>
      <c r="L14" s="8"/>
    </row>
    <row r="15" spans="1:26" ht="12.75" customHeight="1" x14ac:dyDescent="0.2">
      <c r="M15" s="1"/>
    </row>
    <row r="16" spans="1:26" ht="12.75" customHeight="1" x14ac:dyDescent="0.2">
      <c r="C16" s="1" t="s">
        <v>35</v>
      </c>
      <c r="D16" cm="1">
        <f t="array" ref="D16:G16">_xlfn.LET(
_xlpm.a,_xlfn.SEQUENCE(YEAR(B9)-YEAR(B8)+1,1,YEAR(B8),1),
_xlpm.b,IFERROR(_xlfn._xlws.FILTER(Database[Year],Database[Project]=$Z$1),_xlpm.a),
TRANSPOSE(_xlfn._xlws.SORT(_xlfn.UNIQUE(_xlfn.VSTACK(_xlpm.a,_xlpm.b)))))</f>
        <v>2020</v>
      </c>
      <c r="E16" s="42">
        <v>2021</v>
      </c>
      <c r="F16" s="42">
        <v>2022</v>
      </c>
      <c r="G16" s="42">
        <v>2023</v>
      </c>
      <c r="H16" s="42"/>
      <c r="I16" s="42"/>
      <c r="J16" s="42"/>
      <c r="K16" s="42"/>
      <c r="L16" s="1" t="s">
        <v>38</v>
      </c>
      <c r="M16" s="1"/>
    </row>
    <row r="17" spans="1:16" ht="12.75" customHeight="1" x14ac:dyDescent="0.2">
      <c r="A17" s="2" t="s">
        <v>13</v>
      </c>
      <c r="B17" s="2" t="s">
        <v>8</v>
      </c>
      <c r="C17" t="str">
        <f>_xlfn.CONCAT("tot ",$Z$1)</f>
        <v>tot Rebirth</v>
      </c>
      <c r="D17">
        <f>IF(D16=0,"",SUM(D18:D71))</f>
        <v>25</v>
      </c>
      <c r="E17">
        <f t="shared" ref="E17:K17" si="0">IF(E16=0,"",SUM(E18:E71))</f>
        <v>32</v>
      </c>
      <c r="F17">
        <f t="shared" si="0"/>
        <v>33</v>
      </c>
      <c r="G17">
        <f t="shared" si="0"/>
        <v>12</v>
      </c>
      <c r="H17" t="str">
        <f t="shared" si="0"/>
        <v/>
      </c>
      <c r="I17" t="str">
        <f t="shared" si="0"/>
        <v/>
      </c>
      <c r="J17" t="str">
        <f t="shared" si="0"/>
        <v/>
      </c>
      <c r="K17" t="str">
        <f t="shared" si="0"/>
        <v/>
      </c>
      <c r="M17" cm="1">
        <f t="array" ref="M17:P17">_xlfn._TRO_TRAILING(D16:K16)</f>
        <v>2020</v>
      </c>
      <c r="N17">
        <v>2021</v>
      </c>
      <c r="O17">
        <v>2022</v>
      </c>
      <c r="P17">
        <v>2023</v>
      </c>
    </row>
    <row r="18" spans="1:16" x14ac:dyDescent="0.2">
      <c r="A18" t="str" cm="1">
        <f t="array" ref="A18:A24">_xlfn._xlws.SORT(_xlfn.UNIQUE(_xlfn._xlws.FILTER(Database[Name],
(ISNUMBER(MATCH(Database[Project],$Z$1,0)))*
(ISNUMBER(MATCH(Database[Year],_xlfn.ANCHORARRAY(D16),0))))))</f>
        <v>Bobby Turner</v>
      </c>
      <c r="B18" t="str" cm="1">
        <f t="array" ref="B18:B24">_xlfn.LET(
_xlpm.a,_xlfn.XLOOKUP(_xlfn._TRO_TRAILING(A18:A100),PersonnelList[Name],PersonnelList[Remark]),
IF(_xlpm.a=0,"",_xlpm.a))</f>
        <v>Only on funded projects</v>
      </c>
      <c r="C18">
        <f>IF(A18=0,"",SUM(D18:K18))</f>
        <v>32</v>
      </c>
      <c r="D18" s="42">
        <v>8</v>
      </c>
      <c r="E18" s="42">
        <v>11</v>
      </c>
      <c r="F18" s="42">
        <v>11</v>
      </c>
      <c r="G18" s="42">
        <v>2</v>
      </c>
      <c r="H18" s="42"/>
      <c r="I18" s="42"/>
      <c r="J18" s="42"/>
      <c r="K18" s="42"/>
      <c r="L18" s="1" t="str" cm="1">
        <f t="array" ref="L18:L24">_xlfn._TRO_TRAILING(A18:A70)</f>
        <v>Bobby Turner</v>
      </c>
      <c r="M18" cm="1">
        <f t="array" ref="M18:P24">_xlfn.LET(
_xlpm.PMavailable, INDEX(_xlfn.ANCHORARRAY(AvailablePMs!B2),MATCH(_xlfn.ANCHORARRAY(L18),_xlfn.ANCHORARRAY(AvailablePMs!A2),0),MATCH(_xlfn.ANCHORARRAY(M17),_xlfn.ANCHORARRAY(AvailablePMs!B1),0)),
_xlpm.PMalreadyinDB, SUMIFS(Database[PMs],Database[Name],_xlfn.ANCHORARRAY(L18),Database[Project],$Z$1,Database[Year],_xlfn.ANCHORARRAY(M17)),
_xlpm.PMavailable + _xlpm.PMalreadyinDB)</f>
        <v>12</v>
      </c>
      <c r="N18">
        <v>12</v>
      </c>
      <c r="O18">
        <v>12</v>
      </c>
      <c r="P18">
        <v>3</v>
      </c>
    </row>
    <row r="19" spans="1:16" x14ac:dyDescent="0.2">
      <c r="A19" s="42" t="str">
        <v>Emily Busy</v>
      </c>
      <c r="B19" t="str">
        <v/>
      </c>
      <c r="C19">
        <f t="shared" ref="C19:C71" si="1">IF(A19=0,"",SUM(D19:K19))</f>
        <v>13</v>
      </c>
      <c r="D19" s="42">
        <v>3</v>
      </c>
      <c r="E19" s="42">
        <v>5</v>
      </c>
      <c r="F19" s="42">
        <v>5</v>
      </c>
      <c r="G19" s="42">
        <v>0</v>
      </c>
      <c r="H19" s="42"/>
      <c r="I19" s="42"/>
      <c r="J19" s="42"/>
      <c r="K19" s="42"/>
      <c r="L19" s="1" t="str">
        <v>Emily Busy</v>
      </c>
      <c r="M19">
        <v>5</v>
      </c>
      <c r="N19">
        <v>7</v>
      </c>
      <c r="O19">
        <v>7</v>
      </c>
      <c r="P19">
        <v>2</v>
      </c>
    </row>
    <row r="20" spans="1:16" x14ac:dyDescent="0.2">
      <c r="A20" s="42" t="str">
        <v>Jane Smith</v>
      </c>
      <c r="B20" s="1" t="str">
        <v/>
      </c>
      <c r="C20">
        <f t="shared" si="1"/>
        <v>7</v>
      </c>
      <c r="D20" s="42">
        <v>2</v>
      </c>
      <c r="E20" s="42">
        <v>2</v>
      </c>
      <c r="F20" s="42">
        <v>2</v>
      </c>
      <c r="G20" s="42">
        <v>1</v>
      </c>
      <c r="H20" s="42"/>
      <c r="I20" s="42"/>
      <c r="J20" s="42"/>
      <c r="K20" s="42"/>
      <c r="L20" s="1" t="str">
        <v>Jane Smith</v>
      </c>
      <c r="M20">
        <v>4</v>
      </c>
      <c r="N20">
        <v>4</v>
      </c>
      <c r="O20">
        <v>4</v>
      </c>
      <c r="P20">
        <v>3</v>
      </c>
    </row>
    <row r="21" spans="1:16" x14ac:dyDescent="0.2">
      <c r="A21" s="42" t="str">
        <v>John Doe</v>
      </c>
      <c r="B21" t="str">
        <v/>
      </c>
      <c r="C21">
        <f t="shared" si="1"/>
        <v>1</v>
      </c>
      <c r="D21" s="42">
        <v>1</v>
      </c>
      <c r="E21" s="42">
        <v>0</v>
      </c>
      <c r="F21" s="42">
        <v>0</v>
      </c>
      <c r="G21" s="42">
        <v>0</v>
      </c>
      <c r="H21" s="42"/>
      <c r="I21" s="42"/>
      <c r="J21" s="42"/>
      <c r="K21" s="42"/>
      <c r="L21" s="1" t="str">
        <v>John Doe</v>
      </c>
      <c r="M21">
        <v>2</v>
      </c>
      <c r="N21">
        <v>1</v>
      </c>
      <c r="O21">
        <v>1</v>
      </c>
      <c r="P21">
        <v>1</v>
      </c>
    </row>
    <row r="22" spans="1:16" x14ac:dyDescent="0.2">
      <c r="A22" s="42" t="str">
        <v>Mark Overbooked</v>
      </c>
      <c r="B22" t="str">
        <v/>
      </c>
      <c r="C22">
        <f t="shared" si="1"/>
        <v>16</v>
      </c>
      <c r="D22" s="42">
        <v>4</v>
      </c>
      <c r="E22" s="42">
        <v>3</v>
      </c>
      <c r="F22" s="42">
        <v>4</v>
      </c>
      <c r="G22" s="42">
        <v>5</v>
      </c>
      <c r="H22" s="42"/>
      <c r="I22" s="42"/>
      <c r="J22" s="42"/>
      <c r="K22" s="42"/>
      <c r="L22" s="1" t="str">
        <v>Mark Overbooked</v>
      </c>
      <c r="M22">
        <v>5</v>
      </c>
      <c r="N22">
        <v>4</v>
      </c>
      <c r="O22">
        <v>5</v>
      </c>
      <c r="P22">
        <v>6</v>
      </c>
    </row>
    <row r="23" spans="1:16" x14ac:dyDescent="0.2">
      <c r="A23" s="42" t="str">
        <v>Paul Greenfield</v>
      </c>
      <c r="B23" t="str">
        <v/>
      </c>
      <c r="C23">
        <f t="shared" si="1"/>
        <v>14</v>
      </c>
      <c r="D23" s="42">
        <v>3</v>
      </c>
      <c r="E23" s="42">
        <v>5</v>
      </c>
      <c r="F23" s="42">
        <v>5</v>
      </c>
      <c r="G23" s="42">
        <v>1</v>
      </c>
      <c r="H23" s="42"/>
      <c r="I23" s="42"/>
      <c r="J23" s="42"/>
      <c r="K23" s="42"/>
      <c r="L23" s="1" t="str">
        <v>Paul Greenfield</v>
      </c>
      <c r="M23">
        <v>6</v>
      </c>
      <c r="N23">
        <v>6</v>
      </c>
      <c r="O23">
        <v>6</v>
      </c>
      <c r="P23">
        <v>2</v>
      </c>
    </row>
    <row r="24" spans="1:16" x14ac:dyDescent="0.2">
      <c r="A24" s="42" t="str">
        <v>Samuel Ridges</v>
      </c>
      <c r="B24" t="str">
        <v/>
      </c>
      <c r="C24">
        <f t="shared" si="1"/>
        <v>19</v>
      </c>
      <c r="D24" s="42">
        <v>4</v>
      </c>
      <c r="E24" s="42">
        <v>6</v>
      </c>
      <c r="F24" s="42">
        <v>6</v>
      </c>
      <c r="G24" s="42">
        <v>3</v>
      </c>
      <c r="H24" s="42"/>
      <c r="I24" s="42"/>
      <c r="J24" s="42"/>
      <c r="K24" s="42"/>
      <c r="L24" s="1" t="str">
        <v>Samuel Ridges</v>
      </c>
      <c r="M24">
        <v>9</v>
      </c>
      <c r="N24">
        <v>7</v>
      </c>
      <c r="O24">
        <v>7</v>
      </c>
      <c r="P24">
        <v>4</v>
      </c>
    </row>
    <row r="25" spans="1:16" x14ac:dyDescent="0.2">
      <c r="A25" s="42"/>
      <c r="C25" t="str">
        <f t="shared" si="1"/>
        <v/>
      </c>
      <c r="D25" s="42"/>
      <c r="E25" s="42"/>
      <c r="F25" s="42"/>
      <c r="G25" s="42"/>
      <c r="H25" s="42"/>
      <c r="I25" s="42"/>
      <c r="J25" s="42"/>
      <c r="K25" s="42"/>
    </row>
    <row r="26" spans="1:16" x14ac:dyDescent="0.2">
      <c r="A26" s="42"/>
      <c r="C26" t="str">
        <f t="shared" si="1"/>
        <v/>
      </c>
      <c r="D26" s="42"/>
      <c r="E26" s="42"/>
      <c r="F26" s="42"/>
      <c r="G26" s="42"/>
      <c r="H26" s="42"/>
      <c r="I26" s="42"/>
      <c r="J26" s="42"/>
      <c r="K26" s="42"/>
    </row>
    <row r="27" spans="1:16" x14ac:dyDescent="0.2">
      <c r="A27" s="42"/>
      <c r="C27" t="str">
        <f t="shared" si="1"/>
        <v/>
      </c>
      <c r="D27" s="42"/>
      <c r="E27" s="42"/>
      <c r="F27" s="42"/>
      <c r="G27" s="42"/>
      <c r="H27" s="42"/>
      <c r="I27" s="42"/>
      <c r="J27" s="42"/>
      <c r="K27" s="42"/>
    </row>
    <row r="28" spans="1:16" x14ac:dyDescent="0.2">
      <c r="A28" s="42"/>
      <c r="C28" t="str">
        <f t="shared" si="1"/>
        <v/>
      </c>
      <c r="D28" s="42"/>
      <c r="E28" s="42"/>
      <c r="F28" s="42"/>
      <c r="G28" s="42"/>
      <c r="H28" s="42"/>
      <c r="I28" s="42"/>
      <c r="J28" s="42"/>
      <c r="K28" s="42"/>
    </row>
    <row r="29" spans="1:16" x14ac:dyDescent="0.2">
      <c r="A29" s="42"/>
      <c r="C29" t="str">
        <f t="shared" si="1"/>
        <v/>
      </c>
      <c r="D29" s="42"/>
      <c r="E29" s="42"/>
      <c r="F29" s="42"/>
      <c r="G29" s="42"/>
      <c r="H29" s="42"/>
      <c r="I29" s="42"/>
      <c r="J29" s="42"/>
      <c r="K29" s="42"/>
    </row>
    <row r="30" spans="1:16" x14ac:dyDescent="0.2">
      <c r="A30" s="42"/>
      <c r="C30" t="str">
        <f t="shared" si="1"/>
        <v/>
      </c>
      <c r="D30" s="42"/>
      <c r="E30" s="42"/>
      <c r="F30" s="42"/>
      <c r="G30" s="42"/>
      <c r="H30" s="42"/>
      <c r="I30" s="42"/>
      <c r="J30" s="42"/>
      <c r="K30" s="42"/>
    </row>
    <row r="31" spans="1:16" x14ac:dyDescent="0.2">
      <c r="A31" s="42"/>
      <c r="C31" t="str">
        <f t="shared" si="1"/>
        <v/>
      </c>
      <c r="D31" s="42"/>
      <c r="E31" s="42"/>
      <c r="F31" s="42"/>
      <c r="G31" s="42"/>
      <c r="H31" s="42"/>
      <c r="I31" s="42"/>
      <c r="J31" s="42"/>
      <c r="K31" s="42"/>
    </row>
    <row r="32" spans="1:16" x14ac:dyDescent="0.2">
      <c r="A32" s="42"/>
      <c r="C32" t="str">
        <f t="shared" si="1"/>
        <v/>
      </c>
      <c r="D32" s="42"/>
      <c r="E32" s="42"/>
      <c r="F32" s="42"/>
      <c r="G32" s="42"/>
      <c r="H32" s="42"/>
      <c r="I32" s="42"/>
      <c r="J32" s="42"/>
      <c r="K32" s="42"/>
    </row>
    <row r="33" spans="1:11" x14ac:dyDescent="0.2">
      <c r="A33" s="42"/>
      <c r="B33" s="12"/>
      <c r="C33" t="str">
        <f t="shared" si="1"/>
        <v/>
      </c>
      <c r="D33" s="42"/>
      <c r="E33" s="42"/>
      <c r="F33" s="42"/>
      <c r="G33" s="42"/>
      <c r="H33" s="42"/>
      <c r="I33" s="42"/>
      <c r="J33" s="42"/>
      <c r="K33" s="42"/>
    </row>
    <row r="34" spans="1:11" x14ac:dyDescent="0.2">
      <c r="A34" s="42"/>
      <c r="C34" t="str">
        <f t="shared" si="1"/>
        <v/>
      </c>
      <c r="D34" s="42"/>
      <c r="E34" s="42"/>
      <c r="F34" s="42"/>
      <c r="G34" s="42"/>
      <c r="H34" s="42"/>
      <c r="I34" s="42"/>
      <c r="J34" s="42"/>
      <c r="K34" s="42"/>
    </row>
    <row r="35" spans="1:11" x14ac:dyDescent="0.2">
      <c r="A35" s="42"/>
      <c r="C35" t="str">
        <f t="shared" si="1"/>
        <v/>
      </c>
      <c r="D35" s="42"/>
      <c r="E35" s="42"/>
      <c r="F35" s="42"/>
      <c r="G35" s="42"/>
      <c r="H35" s="42"/>
      <c r="I35" s="42"/>
      <c r="J35" s="42"/>
      <c r="K35" s="42"/>
    </row>
    <row r="36" spans="1:11" x14ac:dyDescent="0.2">
      <c r="A36" s="42"/>
      <c r="C36" t="str">
        <f t="shared" si="1"/>
        <v/>
      </c>
      <c r="D36" s="42"/>
      <c r="E36" s="42"/>
      <c r="F36" s="42"/>
      <c r="G36" s="42"/>
      <c r="H36" s="42"/>
      <c r="I36" s="42"/>
      <c r="J36" s="42"/>
      <c r="K36" s="42"/>
    </row>
    <row r="37" spans="1:11" x14ac:dyDescent="0.2">
      <c r="A37" s="42"/>
      <c r="C37" t="str">
        <f t="shared" si="1"/>
        <v/>
      </c>
      <c r="D37" s="42"/>
      <c r="E37" s="42"/>
      <c r="F37" s="42"/>
      <c r="G37" s="42"/>
      <c r="H37" s="42"/>
      <c r="I37" s="42"/>
      <c r="J37" s="42"/>
      <c r="K37" s="42"/>
    </row>
    <row r="38" spans="1:11" x14ac:dyDescent="0.2">
      <c r="A38" s="42"/>
      <c r="C38" t="str">
        <f t="shared" si="1"/>
        <v/>
      </c>
      <c r="D38" s="42"/>
      <c r="E38" s="42"/>
      <c r="F38" s="42"/>
      <c r="G38" s="42"/>
      <c r="H38" s="42"/>
      <c r="I38" s="42"/>
      <c r="J38" s="42"/>
      <c r="K38" s="42"/>
    </row>
    <row r="39" spans="1:11" x14ac:dyDescent="0.2">
      <c r="A39" s="42"/>
      <c r="C39" t="str">
        <f t="shared" si="1"/>
        <v/>
      </c>
      <c r="D39" s="42"/>
      <c r="E39" s="42"/>
      <c r="F39" s="42"/>
      <c r="G39" s="42"/>
      <c r="H39" s="42"/>
      <c r="I39" s="42"/>
      <c r="J39" s="42"/>
      <c r="K39" s="42"/>
    </row>
    <row r="40" spans="1:11" x14ac:dyDescent="0.2">
      <c r="A40" s="42"/>
      <c r="C40" t="str">
        <f t="shared" si="1"/>
        <v/>
      </c>
      <c r="D40" s="42"/>
      <c r="E40" s="42"/>
      <c r="F40" s="42"/>
      <c r="G40" s="42"/>
      <c r="H40" s="42"/>
      <c r="I40" s="42"/>
      <c r="J40" s="42"/>
      <c r="K40" s="42"/>
    </row>
    <row r="41" spans="1:11" x14ac:dyDescent="0.2">
      <c r="A41" s="42"/>
      <c r="C41" t="str">
        <f t="shared" si="1"/>
        <v/>
      </c>
      <c r="D41" s="42"/>
      <c r="E41" s="42"/>
      <c r="F41" s="42"/>
      <c r="G41" s="42"/>
      <c r="H41" s="42"/>
      <c r="I41" s="42"/>
      <c r="J41" s="42"/>
      <c r="K41" s="42"/>
    </row>
    <row r="42" spans="1:11" x14ac:dyDescent="0.2">
      <c r="A42" s="42"/>
      <c r="C42" t="str">
        <f t="shared" si="1"/>
        <v/>
      </c>
      <c r="D42" s="42"/>
      <c r="E42" s="42"/>
      <c r="F42" s="42"/>
      <c r="G42" s="42"/>
      <c r="H42" s="42"/>
      <c r="I42" s="42"/>
      <c r="J42" s="42"/>
      <c r="K42" s="42"/>
    </row>
    <row r="43" spans="1:11" x14ac:dyDescent="0.2">
      <c r="A43" s="42"/>
      <c r="C43" t="str">
        <f t="shared" si="1"/>
        <v/>
      </c>
      <c r="D43" s="42"/>
      <c r="E43" s="42"/>
      <c r="F43" s="42"/>
      <c r="G43" s="42"/>
      <c r="H43" s="42"/>
      <c r="I43" s="42"/>
      <c r="J43" s="42"/>
      <c r="K43" s="42"/>
    </row>
    <row r="44" spans="1:11" x14ac:dyDescent="0.2">
      <c r="A44" s="42"/>
      <c r="C44" t="str">
        <f t="shared" si="1"/>
        <v/>
      </c>
      <c r="D44" s="42"/>
      <c r="E44" s="42"/>
      <c r="F44" s="42"/>
      <c r="G44" s="42"/>
      <c r="H44" s="42"/>
      <c r="I44" s="42"/>
      <c r="J44" s="42"/>
      <c r="K44" s="42"/>
    </row>
    <row r="45" spans="1:11" x14ac:dyDescent="0.2">
      <c r="A45" s="42"/>
      <c r="C45" t="str">
        <f t="shared" si="1"/>
        <v/>
      </c>
      <c r="D45" s="42"/>
      <c r="E45" s="42"/>
      <c r="F45" s="42"/>
      <c r="G45" s="42"/>
      <c r="H45" s="42"/>
      <c r="I45" s="42"/>
      <c r="J45" s="42"/>
      <c r="K45" s="42"/>
    </row>
    <row r="46" spans="1:11" x14ac:dyDescent="0.2">
      <c r="A46" s="42"/>
      <c r="C46" t="str">
        <f t="shared" si="1"/>
        <v/>
      </c>
      <c r="D46" s="42"/>
      <c r="E46" s="42"/>
      <c r="F46" s="42"/>
      <c r="G46" s="42"/>
      <c r="H46" s="42"/>
      <c r="I46" s="42"/>
      <c r="J46" s="42"/>
      <c r="K46" s="42"/>
    </row>
    <row r="47" spans="1:11" x14ac:dyDescent="0.2">
      <c r="A47" s="42"/>
      <c r="C47" t="str">
        <f t="shared" si="1"/>
        <v/>
      </c>
      <c r="D47" s="42"/>
      <c r="E47" s="42"/>
      <c r="F47" s="42"/>
      <c r="G47" s="42"/>
      <c r="H47" s="42"/>
      <c r="I47" s="42"/>
      <c r="J47" s="42"/>
      <c r="K47" s="42"/>
    </row>
    <row r="48" spans="1:11" x14ac:dyDescent="0.2">
      <c r="A48" s="42"/>
      <c r="C48" t="str">
        <f t="shared" si="1"/>
        <v/>
      </c>
      <c r="D48" s="42"/>
      <c r="E48" s="42"/>
      <c r="F48" s="42"/>
      <c r="G48" s="42"/>
      <c r="H48" s="42"/>
      <c r="I48" s="42"/>
      <c r="J48" s="42"/>
      <c r="K48" s="42"/>
    </row>
    <row r="49" spans="1:11" x14ac:dyDescent="0.2">
      <c r="A49" s="42"/>
      <c r="C49" t="str">
        <f t="shared" si="1"/>
        <v/>
      </c>
      <c r="D49" s="42"/>
      <c r="E49" s="42"/>
      <c r="F49" s="42"/>
      <c r="G49" s="42"/>
      <c r="H49" s="42"/>
      <c r="I49" s="42"/>
      <c r="J49" s="42"/>
      <c r="K49" s="42"/>
    </row>
    <row r="50" spans="1:11" x14ac:dyDescent="0.2">
      <c r="A50" s="42"/>
      <c r="C50" t="str">
        <f t="shared" si="1"/>
        <v/>
      </c>
      <c r="D50" s="42"/>
      <c r="E50" s="42"/>
      <c r="F50" s="42"/>
      <c r="G50" s="42"/>
      <c r="H50" s="42"/>
      <c r="I50" s="42"/>
      <c r="J50" s="42"/>
      <c r="K50" s="42"/>
    </row>
    <row r="51" spans="1:11" x14ac:dyDescent="0.2">
      <c r="A51" s="42"/>
      <c r="C51" t="str">
        <f t="shared" si="1"/>
        <v/>
      </c>
      <c r="D51" s="42"/>
      <c r="E51" s="42"/>
      <c r="F51" s="42"/>
      <c r="G51" s="42"/>
      <c r="H51" s="42"/>
      <c r="I51" s="42"/>
      <c r="J51" s="42"/>
      <c r="K51" s="42"/>
    </row>
    <row r="52" spans="1:11" x14ac:dyDescent="0.2">
      <c r="A52" s="42"/>
      <c r="C52" t="str">
        <f t="shared" si="1"/>
        <v/>
      </c>
      <c r="D52" s="42"/>
      <c r="E52" s="42"/>
      <c r="F52" s="42"/>
      <c r="G52" s="42"/>
      <c r="H52" s="42"/>
      <c r="I52" s="42"/>
      <c r="J52" s="42"/>
      <c r="K52" s="42"/>
    </row>
    <row r="53" spans="1:11" x14ac:dyDescent="0.2">
      <c r="A53" s="42"/>
      <c r="C53" t="str">
        <f t="shared" si="1"/>
        <v/>
      </c>
      <c r="D53" s="42"/>
      <c r="E53" s="42"/>
      <c r="F53" s="42"/>
      <c r="G53" s="42"/>
      <c r="H53" s="42"/>
      <c r="I53" s="42"/>
      <c r="J53" s="42"/>
      <c r="K53" s="42"/>
    </row>
    <row r="54" spans="1:11" x14ac:dyDescent="0.2">
      <c r="A54" s="42"/>
      <c r="C54" t="str">
        <f t="shared" si="1"/>
        <v/>
      </c>
      <c r="D54" s="42"/>
      <c r="E54" s="42"/>
      <c r="F54" s="42"/>
      <c r="G54" s="42"/>
      <c r="H54" s="42"/>
      <c r="I54" s="42"/>
      <c r="J54" s="42"/>
      <c r="K54" s="42"/>
    </row>
    <row r="55" spans="1:11" x14ac:dyDescent="0.2">
      <c r="A55" s="42"/>
      <c r="C55" t="str">
        <f t="shared" si="1"/>
        <v/>
      </c>
      <c r="D55" s="42"/>
      <c r="E55" s="42"/>
      <c r="F55" s="42"/>
      <c r="G55" s="42"/>
      <c r="H55" s="42"/>
      <c r="I55" s="42"/>
      <c r="J55" s="42"/>
      <c r="K55" s="42"/>
    </row>
    <row r="56" spans="1:11" x14ac:dyDescent="0.2">
      <c r="A56" s="42"/>
      <c r="C56" t="str">
        <f t="shared" si="1"/>
        <v/>
      </c>
      <c r="D56" s="42"/>
      <c r="E56" s="42"/>
      <c r="F56" s="42"/>
      <c r="G56" s="42"/>
      <c r="H56" s="42"/>
      <c r="I56" s="42"/>
      <c r="J56" s="42"/>
      <c r="K56" s="42"/>
    </row>
    <row r="57" spans="1:11" x14ac:dyDescent="0.2">
      <c r="A57" s="42"/>
      <c r="C57" t="str">
        <f t="shared" si="1"/>
        <v/>
      </c>
      <c r="D57" s="42"/>
      <c r="E57" s="42"/>
      <c r="F57" s="42"/>
      <c r="G57" s="42"/>
      <c r="H57" s="42"/>
      <c r="I57" s="42"/>
      <c r="J57" s="42"/>
      <c r="K57" s="42"/>
    </row>
    <row r="58" spans="1:11" x14ac:dyDescent="0.2">
      <c r="A58" s="42"/>
      <c r="C58" t="str">
        <f t="shared" si="1"/>
        <v/>
      </c>
      <c r="D58" s="42"/>
      <c r="E58" s="42"/>
      <c r="F58" s="42"/>
      <c r="G58" s="42"/>
      <c r="H58" s="42"/>
      <c r="I58" s="42"/>
      <c r="J58" s="42"/>
      <c r="K58" s="42"/>
    </row>
    <row r="59" spans="1:11" x14ac:dyDescent="0.2">
      <c r="A59" s="42"/>
      <c r="C59" t="str">
        <f t="shared" si="1"/>
        <v/>
      </c>
      <c r="D59" s="42"/>
      <c r="E59" s="42"/>
      <c r="F59" s="42"/>
      <c r="G59" s="42"/>
      <c r="H59" s="42"/>
      <c r="I59" s="42"/>
      <c r="J59" s="42"/>
      <c r="K59" s="42"/>
    </row>
    <row r="60" spans="1:11" x14ac:dyDescent="0.2">
      <c r="A60" s="42"/>
      <c r="C60" t="str">
        <f t="shared" si="1"/>
        <v/>
      </c>
      <c r="D60" s="42"/>
      <c r="E60" s="42"/>
      <c r="F60" s="42"/>
      <c r="G60" s="42"/>
      <c r="H60" s="42"/>
      <c r="I60" s="42"/>
      <c r="J60" s="42"/>
      <c r="K60" s="42"/>
    </row>
    <row r="61" spans="1:11" x14ac:dyDescent="0.2">
      <c r="A61" s="42"/>
      <c r="C61" t="str">
        <f t="shared" si="1"/>
        <v/>
      </c>
      <c r="D61" s="42"/>
      <c r="E61" s="42"/>
      <c r="F61" s="42"/>
      <c r="G61" s="42"/>
      <c r="H61" s="42"/>
      <c r="I61" s="42"/>
      <c r="J61" s="42"/>
      <c r="K61" s="42"/>
    </row>
    <row r="62" spans="1:11" x14ac:dyDescent="0.2">
      <c r="A62" s="42"/>
      <c r="C62" t="str">
        <f t="shared" si="1"/>
        <v/>
      </c>
      <c r="D62" s="42"/>
      <c r="E62" s="42"/>
      <c r="F62" s="42"/>
      <c r="G62" s="42"/>
      <c r="H62" s="42"/>
      <c r="I62" s="42"/>
      <c r="J62" s="42"/>
      <c r="K62" s="42"/>
    </row>
    <row r="63" spans="1:11" x14ac:dyDescent="0.2">
      <c r="A63" s="42"/>
      <c r="C63" t="str">
        <f t="shared" si="1"/>
        <v/>
      </c>
      <c r="D63" s="42"/>
      <c r="E63" s="42"/>
      <c r="F63" s="42"/>
      <c r="G63" s="42"/>
      <c r="H63" s="42"/>
      <c r="I63" s="42"/>
      <c r="J63" s="42"/>
      <c r="K63" s="42"/>
    </row>
    <row r="64" spans="1:11" x14ac:dyDescent="0.2">
      <c r="A64" s="42"/>
      <c r="C64" t="str">
        <f t="shared" si="1"/>
        <v/>
      </c>
      <c r="D64" s="42"/>
      <c r="E64" s="42"/>
      <c r="F64" s="42"/>
      <c r="G64" s="42"/>
      <c r="H64" s="42"/>
      <c r="I64" s="42"/>
      <c r="J64" s="42"/>
      <c r="K64" s="42"/>
    </row>
    <row r="65" spans="1:11" x14ac:dyDescent="0.2">
      <c r="A65" s="42"/>
      <c r="C65" t="str">
        <f t="shared" si="1"/>
        <v/>
      </c>
      <c r="D65" s="42"/>
      <c r="E65" s="42"/>
      <c r="F65" s="42"/>
      <c r="G65" s="42"/>
      <c r="H65" s="42"/>
      <c r="I65" s="42"/>
      <c r="J65" s="42"/>
      <c r="K65" s="42"/>
    </row>
    <row r="66" spans="1:11" x14ac:dyDescent="0.2">
      <c r="A66" s="42"/>
      <c r="C66" t="str">
        <f t="shared" si="1"/>
        <v/>
      </c>
      <c r="D66" s="42"/>
      <c r="E66" s="42"/>
      <c r="F66" s="42"/>
      <c r="G66" s="42"/>
      <c r="H66" s="42"/>
      <c r="I66" s="42"/>
      <c r="J66" s="42"/>
      <c r="K66" s="42"/>
    </row>
    <row r="67" spans="1:11" x14ac:dyDescent="0.2">
      <c r="A67" s="42"/>
      <c r="C67" t="str">
        <f t="shared" si="1"/>
        <v/>
      </c>
      <c r="D67" s="42"/>
      <c r="E67" s="42"/>
      <c r="F67" s="42"/>
      <c r="G67" s="42"/>
      <c r="H67" s="42"/>
      <c r="I67" s="42"/>
      <c r="J67" s="42"/>
      <c r="K67" s="42"/>
    </row>
    <row r="68" spans="1:11" x14ac:dyDescent="0.2">
      <c r="A68" s="42"/>
      <c r="C68" t="str">
        <f t="shared" si="1"/>
        <v/>
      </c>
      <c r="D68" s="42"/>
      <c r="E68" s="42"/>
      <c r="F68" s="42"/>
      <c r="G68" s="42"/>
      <c r="H68" s="42"/>
      <c r="I68" s="42"/>
      <c r="J68" s="42"/>
      <c r="K68" s="42"/>
    </row>
    <row r="69" spans="1:11" x14ac:dyDescent="0.2">
      <c r="A69" s="42"/>
      <c r="C69" t="str">
        <f t="shared" si="1"/>
        <v/>
      </c>
      <c r="D69" s="42"/>
      <c r="E69" s="42"/>
      <c r="F69" s="42"/>
      <c r="G69" s="42"/>
      <c r="H69" s="42"/>
      <c r="I69" s="42"/>
      <c r="J69" s="42"/>
      <c r="K69" s="42"/>
    </row>
    <row r="70" spans="1:11" x14ac:dyDescent="0.2">
      <c r="A70" s="42"/>
      <c r="C70" t="str">
        <f t="shared" si="1"/>
        <v/>
      </c>
      <c r="D70" s="42"/>
      <c r="E70" s="42"/>
      <c r="F70" s="42"/>
      <c r="G70" s="42"/>
      <c r="H70" s="42"/>
      <c r="I70" s="42"/>
      <c r="J70" s="42"/>
      <c r="K70" s="42"/>
    </row>
    <row r="71" spans="1:11" x14ac:dyDescent="0.2">
      <c r="C71" t="str">
        <f t="shared" si="1"/>
        <v/>
      </c>
    </row>
  </sheetData>
  <sheetProtection algorithmName="SHA-512" hashValue="u+MNPUR+MxBNF6LTLRkMJezgn5UMYlDfErCc/6sfJBI8681f9Cwwccws65mf0hLgx54Pcjjy1qaF2D5TZm27ag==" saltValue="1jgARNXGAVXxV5BRLRMn+g==" spinCount="100000" sheet="1" objects="1" scenarios="1"/>
  <mergeCells count="1">
    <mergeCell ref="D6:F6"/>
  </mergeCells>
  <conditionalFormatting sqref="C16:K16">
    <cfRule type="cellIs" dxfId="38" priority="5" operator="notEqual">
      <formula>0</formula>
    </cfRule>
  </conditionalFormatting>
  <conditionalFormatting sqref="C17:K17">
    <cfRule type="expression" dxfId="37" priority="7">
      <formula>C$16&lt;&gt;0</formula>
    </cfRule>
  </conditionalFormatting>
  <conditionalFormatting sqref="D18:K105">
    <cfRule type="expression" dxfId="36" priority="12">
      <formula>AND(D$16&lt;&gt;0,$A18&lt;&gt;0)</formula>
    </cfRule>
  </conditionalFormatting>
  <conditionalFormatting sqref="B18:B105">
    <cfRule type="expression" dxfId="35" priority="10">
      <formula>$A18&lt;&gt;0</formula>
    </cfRule>
  </conditionalFormatting>
  <conditionalFormatting sqref="A18:A105">
    <cfRule type="cellIs" dxfId="34" priority="8" operator="notEqual">
      <formula>0</formula>
    </cfRule>
  </conditionalFormatting>
  <conditionalFormatting sqref="C18:C105">
    <cfRule type="cellIs" dxfId="33" priority="11" operator="notEqual">
      <formula>""</formula>
    </cfRule>
  </conditionalFormatting>
  <conditionalFormatting sqref="G6:U6">
    <cfRule type="cellIs" dxfId="32" priority="4" operator="greaterThan">
      <formula>0</formula>
    </cfRule>
  </conditionalFormatting>
  <conditionalFormatting sqref="D16:K16">
    <cfRule type="expression" dxfId="31" priority="2">
      <formula>AND(D$16&lt;&gt;0,OR(D$16&lt;YEAR($B$8),D$16&gt;YEAR($B$9)))</formula>
    </cfRule>
  </conditionalFormatting>
  <conditionalFormatting sqref="M17:U17">
    <cfRule type="expression" dxfId="30" priority="3">
      <formula>AND(M$16&lt;&gt;0,OR(M$16&lt;YEAR($B$8),M$16&gt;YEAR($B$9)))</formula>
    </cfRule>
    <cfRule type="cellIs" dxfId="29" priority="6" operator="notEqual">
      <formula>0</formula>
    </cfRule>
  </conditionalFormatting>
  <conditionalFormatting sqref="L18:L105">
    <cfRule type="cellIs" dxfId="28" priority="9" operator="notEqual">
      <formula>0</formula>
    </cfRule>
  </conditionalFormatting>
  <conditionalFormatting sqref="M18:T105">
    <cfRule type="expression" dxfId="27" priority="1">
      <formula>M18&lt;D18</formula>
    </cfRule>
    <cfRule type="expression" dxfId="26" priority="13">
      <formula>AND(M$17&lt;&gt;0,$L18&lt;&gt;0)</formula>
    </cfRule>
  </conditionalFormatting>
  <dataValidations count="3">
    <dataValidation type="list" allowBlank="1" showInputMessage="1" showErrorMessage="1" sqref="B1 Z1" xr:uid="{12B607FC-4389-4760-BB9D-DA5F2745C548}">
      <formula1>ProjectListDropDown</formula1>
    </dataValidation>
    <dataValidation type="list" allowBlank="1" showInputMessage="1" showErrorMessage="1" sqref="A18:A71" xr:uid="{B02AB571-A613-4505-AAFA-06541EC3D041}">
      <formula1>PersonnelListDropDown</formula1>
    </dataValidation>
    <dataValidation type="list" allowBlank="1" showInputMessage="1" showErrorMessage="1" sqref="B11" xr:uid="{541531C6-1C85-4389-A87D-3C237076C9CA}">
      <formula1>"Project, Proposal"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7A21D-9289-44A7-86F5-916E0195D5DD}">
  <sheetPr codeName="Sheet15">
    <tabColor rgb="FF009999"/>
  </sheetPr>
  <dimension ref="A1:AZ100"/>
  <sheetViews>
    <sheetView workbookViewId="0">
      <selection activeCell="N29" sqref="N29"/>
    </sheetView>
  </sheetViews>
  <sheetFormatPr defaultRowHeight="12.75" x14ac:dyDescent="0.2"/>
  <cols>
    <col min="1" max="1" width="21.7109375" customWidth="1"/>
    <col min="2" max="2" width="24.7109375" bestFit="1" customWidth="1"/>
    <col min="3" max="52" width="16.85546875" customWidth="1"/>
  </cols>
  <sheetData>
    <row r="1" spans="1:52" ht="42" customHeight="1" x14ac:dyDescent="0.2">
      <c r="A1" s="11" t="s">
        <v>22</v>
      </c>
      <c r="B1" s="43" t="s">
        <v>60</v>
      </c>
      <c r="E1" s="21"/>
      <c r="F1" s="21"/>
      <c r="G1" s="21"/>
      <c r="H1" s="21"/>
      <c r="I1" s="21"/>
      <c r="J1" s="21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Z1" s="49" t="s">
        <v>60</v>
      </c>
    </row>
    <row r="2" spans="1:52" x14ac:dyDescent="0.2">
      <c r="D2" s="6"/>
      <c r="F2" s="19"/>
      <c r="H2" s="19"/>
    </row>
    <row r="3" spans="1:52" x14ac:dyDescent="0.2">
      <c r="D3" s="1"/>
      <c r="F3" s="19"/>
      <c r="H3" s="19"/>
    </row>
    <row r="4" spans="1:52" x14ac:dyDescent="0.2">
      <c r="D4" s="19"/>
      <c r="E4" s="19"/>
      <c r="F4" s="19"/>
      <c r="G4" s="19"/>
      <c r="H4" s="19"/>
    </row>
    <row r="5" spans="1:52" ht="9.75" customHeight="1" x14ac:dyDescent="0.2"/>
    <row r="6" spans="1:52" ht="42" customHeight="1" x14ac:dyDescent="0.2">
      <c r="A6" s="11"/>
      <c r="B6" s="32" t="str">
        <f>_xlfn.CONCAT("Displayed personnel :
"&amp;Z1)</f>
        <v>Displayed personnel :
Jane Smith</v>
      </c>
      <c r="D6" s="54" t="str">
        <f>IF(G6=0,"","It seems there is an overbooking for the following persons, please check their details :")</f>
        <v>It seems there is an overbooking for the following persons, please check their details :</v>
      </c>
      <c r="E6" s="54"/>
      <c r="F6" s="54"/>
      <c r="G6" s="22" t="str" cm="1">
        <f t="array" ref="G6:H6">IFERROR(TRANSPOSE(_xlfn._xlws.FILTER(_xlfn.ANCHORARRAY('Error checks'!$A$2),_xlfn.BYROW(_xlfn.ANCHORARRAY('Error checks'!$B$2),_xlfn.LAMBDA(_xlpm.a,_xlfn.AGGREGATE(9,2,_xlpm.a)))&lt;COUNT(_xlfn.ANCHORARRAY('Error checks'!$B$1)))),0)</f>
        <v>Mark Overbooked</v>
      </c>
      <c r="H6" s="21" t="str">
        <v>Emily Busy</v>
      </c>
      <c r="I6" s="21"/>
      <c r="J6" s="21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</row>
    <row r="7" spans="1:52" x14ac:dyDescent="0.2">
      <c r="A7" s="5" t="s">
        <v>0</v>
      </c>
      <c r="B7" s="52" t="s">
        <v>56</v>
      </c>
    </row>
    <row r="8" spans="1:52" ht="12.75" customHeight="1" x14ac:dyDescent="0.2">
      <c r="A8" s="5" t="s">
        <v>2</v>
      </c>
      <c r="B8" s="52" t="s">
        <v>61</v>
      </c>
      <c r="D8" s="25" t="s">
        <v>27</v>
      </c>
      <c r="E8" s="9" cm="1">
        <f t="array" ref="E8:E9">TRANSPOSE(_xlfn._xlws.SORT(_xlfn._xlws.FILTER(WorkRegime[[Work regime]:[Start/Change date]],WorkRegime[Name]=Z1),2,1))</f>
        <v>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52" ht="12.75" customHeight="1" x14ac:dyDescent="0.2">
      <c r="A9" s="5" t="s">
        <v>1</v>
      </c>
      <c r="B9" s="52" t="s">
        <v>58</v>
      </c>
      <c r="D9" s="16" t="s">
        <v>28</v>
      </c>
      <c r="E9" s="7">
        <v>38473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52" ht="12.75" customHeight="1" x14ac:dyDescent="0.2">
      <c r="A10" s="4" t="s">
        <v>25</v>
      </c>
      <c r="B10" s="52" t="s">
        <v>59</v>
      </c>
    </row>
    <row r="11" spans="1:52" s="7" customFormat="1" ht="12.75" customHeight="1" x14ac:dyDescent="0.2">
      <c r="A11" s="5" t="s">
        <v>8</v>
      </c>
      <c r="B11" s="52"/>
      <c r="H11"/>
    </row>
    <row r="12" spans="1:52" s="7" customFormat="1" ht="12.75" customHeight="1" x14ac:dyDescent="0.2">
      <c r="A12" s="24"/>
      <c r="B12" s="24"/>
      <c r="H12"/>
    </row>
    <row r="13" spans="1:52" ht="12.75" customHeight="1" x14ac:dyDescent="0.2">
      <c r="B13" s="1" t="s">
        <v>16</v>
      </c>
      <c r="C13" cm="1">
        <f t="array" ref="C13:L13">_xlfn.SEQUENCE(1,COUNT(_xlfn.UNIQUE(Database[Year])),MIN(Database[Year]),1)</f>
        <v>2020</v>
      </c>
      <c r="D13" s="42">
        <v>2021</v>
      </c>
      <c r="E13" s="42">
        <v>2022</v>
      </c>
      <c r="F13" s="42">
        <v>2023</v>
      </c>
      <c r="G13" s="42">
        <v>2024</v>
      </c>
      <c r="H13" s="42">
        <v>2025</v>
      </c>
      <c r="I13" s="42">
        <v>2026</v>
      </c>
      <c r="J13" s="42">
        <v>2027</v>
      </c>
      <c r="K13" s="42">
        <v>2028</v>
      </c>
      <c r="L13" s="42">
        <v>2029</v>
      </c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</row>
    <row r="14" spans="1:52" ht="12.75" customHeight="1" x14ac:dyDescent="0.2">
      <c r="B14" s="1" t="s">
        <v>21</v>
      </c>
      <c r="C14" cm="1">
        <f t="array" ref="C14:L14">_xlfn.LET(
  _xlpm.person_array, _xlfn._xlws.SORT(_xlfn._xlws.FILTER(WorkRegime[], WorkRegime[Name] = Z1), 3),
  _xlpm.person_array_year_col, YEAR(_xlfn.CHOOSECOLS(_xlpm.person_array, 3)),
  _xlpm.process_year, _xlfn.LAMBDA(_xlpm.YEARVAL,
    _xlfn.LET(
      _xlpm.person_array_filtered, _xlfn._xlws.FILTER(_xlpm.person_array, YEAR(_xlfn.CHOOSECOLS(_xlpm.person_array, 3)) &lt; _xlpm.YEARVAL),
      _xlpm.match_position, IFERROR(MATCH(_xlpm.YEARVAL, _xlpm.person_array_year_col, 0), IF(_xlpm.YEARVAL&gt;MAX(_xlpm.person_array_year_col),"future",IF(_xlpm.YEARVAL&lt;MIN(_xlpm.person_array_year_col),"past","middle"))),
      _xlpm.workregime_yearstart, _xlfn.IFS(
        _xlpm.match_position = "future", INDEX(_xlpm.person_array, ROWS(_xlpm.person_array), 2),
        _xlpm.match_position = "past", 0%,
        _xlpm.match_position = "middle", INDEX(_xlpm.person_array_filtered, ROWS(_xlpm.person_array_filtered),2),
        _xlpm.match_position = 1, 0%,
        TRUE, INDEX(_xlpm.person_array, _xlpm.match_position - 1, 2)),
      _xlpm.person_array_of_that_year, _xlfn._xlws.SORT(_xlfn._xlws.FILTER(WorkRegime[],(WorkRegime[Name]=Z1)*(YEAR(WorkRegime[Start/Change date])=_xlpm.YEARVAL)),3),
      _xlpm.person_array_date_col, _xlfn.CHOOSECOLS(_xlpm.person_array_of_that_year,3),
      _xlpm.number_of_month_per_workregime_array_mult, ROUND((_xlfn.VSTACK(_xlpm.person_array_date_col,DATE(_xlpm.YEARVAL,12,31))-_xlfn.VSTACK(DATE(_xlpm.YEARVAL,1,1),_xlpm.person_array_date_col)+1)*12/365,1),
      _xlpm.workregime_array_of_that_year, _xlfn.CHOOSECOLS(_xlpm.person_array_of_that_year,2),
      _xlpm.workregime_array_mult, _xlfn.VSTACK(_xlpm.workregime_yearstart,_xlpm.workregime_array_of_that_year),
      IFERROR(SUMPRODUCT(_xlpm.number_of_month_per_workregime_array_mult*_xlpm.workregime_array_mult),_xlpm.workregime_yearstart*12)
    )
  ),
  _xlpm.res,_xlfn.MAP(_xlfn._TRO_TRAILING(C13:V13), _xlpm.process_year),
  _xlpm.res
)</f>
        <v>12</v>
      </c>
      <c r="D14">
        <v>12</v>
      </c>
      <c r="E14">
        <v>12</v>
      </c>
      <c r="F14">
        <v>12</v>
      </c>
      <c r="G14">
        <v>12</v>
      </c>
      <c r="H14">
        <v>12</v>
      </c>
      <c r="I14">
        <v>12</v>
      </c>
      <c r="J14">
        <v>12</v>
      </c>
      <c r="K14">
        <v>12</v>
      </c>
      <c r="L14">
        <v>12</v>
      </c>
    </row>
    <row r="15" spans="1:52" ht="12.75" customHeight="1" x14ac:dyDescent="0.2">
      <c r="A15" s="2" t="s">
        <v>20</v>
      </c>
      <c r="B15" t="str">
        <f>_xlfn.CONCAT("tot ",$Z$1)</f>
        <v>tot Jane Smith</v>
      </c>
      <c r="C15">
        <f>IF(C13=0,"",SUM(C16:C100))</f>
        <v>10</v>
      </c>
      <c r="D15">
        <f t="shared" ref="D15:V15" si="0">IF(D13=0,"",SUM(D16:D100))</f>
        <v>10</v>
      </c>
      <c r="E15">
        <f t="shared" si="0"/>
        <v>10</v>
      </c>
      <c r="F15">
        <f t="shared" si="0"/>
        <v>10</v>
      </c>
      <c r="G15">
        <f t="shared" si="0"/>
        <v>11</v>
      </c>
      <c r="H15">
        <f t="shared" si="0"/>
        <v>11</v>
      </c>
      <c r="I15">
        <f t="shared" si="0"/>
        <v>11</v>
      </c>
      <c r="J15">
        <f t="shared" si="0"/>
        <v>11</v>
      </c>
      <c r="K15">
        <f t="shared" si="0"/>
        <v>11</v>
      </c>
      <c r="L15">
        <f t="shared" si="0"/>
        <v>1</v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</row>
    <row r="16" spans="1:52" x14ac:dyDescent="0.2">
      <c r="A16" s="42" t="str" cm="1">
        <f t="array" ref="A16:A20">_xlfn._xlws.SORT(_xlfn.UNIQUE(_xlfn._xlws.FILTER(Database[Project],
(ISNUMBER(MATCH(Database[Name],$Z$1,0)))*
(ISNUMBER(MATCH(Database[Year],_xlfn.ANCHORARRAY(C13),0))))))</f>
        <v>Atlas</v>
      </c>
      <c r="B16">
        <f>IF(A16=0,"",SUM(C16:V16))</f>
        <v>27.5</v>
      </c>
      <c r="C16" s="42">
        <v>0</v>
      </c>
      <c r="D16" s="42">
        <v>0</v>
      </c>
      <c r="E16" s="42">
        <v>0</v>
      </c>
      <c r="F16" s="42">
        <v>0</v>
      </c>
      <c r="G16" s="42">
        <v>10.5</v>
      </c>
      <c r="H16" s="42">
        <v>11</v>
      </c>
      <c r="I16" s="42">
        <v>6</v>
      </c>
      <c r="J16" s="42">
        <v>0</v>
      </c>
      <c r="K16" s="42">
        <v>0</v>
      </c>
      <c r="L16" s="42">
        <v>0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</row>
    <row r="17" spans="1:52" x14ac:dyDescent="0.2">
      <c r="A17" s="42" t="str">
        <v>Eclipse</v>
      </c>
      <c r="B17">
        <f t="shared" ref="B17:B80" si="1">IF(A17=0,"",SUM(C17:V17))</f>
        <v>28</v>
      </c>
      <c r="C17" s="42">
        <v>0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5</v>
      </c>
      <c r="J17" s="42">
        <v>11</v>
      </c>
      <c r="K17" s="42">
        <v>11</v>
      </c>
      <c r="L17" s="42">
        <v>1</v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</row>
    <row r="18" spans="1:52" x14ac:dyDescent="0.2">
      <c r="A18" s="42" t="str">
        <v>Horizon</v>
      </c>
      <c r="B18">
        <f t="shared" si="1"/>
        <v>5</v>
      </c>
      <c r="C18" s="42">
        <v>2</v>
      </c>
      <c r="D18" s="42">
        <v>3</v>
      </c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</row>
    <row r="19" spans="1:52" x14ac:dyDescent="0.2">
      <c r="A19" s="42" t="str">
        <v>Phoenix</v>
      </c>
      <c r="B19">
        <f t="shared" si="1"/>
        <v>28.5</v>
      </c>
      <c r="C19" s="42">
        <v>6</v>
      </c>
      <c r="D19" s="42">
        <v>5</v>
      </c>
      <c r="E19" s="42">
        <v>8</v>
      </c>
      <c r="F19" s="42">
        <v>9</v>
      </c>
      <c r="G19" s="42">
        <v>0.5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</row>
    <row r="20" spans="1:52" x14ac:dyDescent="0.2">
      <c r="A20" s="42" t="str">
        <v>Rebirth</v>
      </c>
      <c r="B20">
        <f t="shared" si="1"/>
        <v>7</v>
      </c>
      <c r="C20" s="42">
        <v>2</v>
      </c>
      <c r="D20" s="42">
        <v>2</v>
      </c>
      <c r="E20" s="42">
        <v>2</v>
      </c>
      <c r="F20" s="42">
        <v>1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</row>
    <row r="21" spans="1:52" x14ac:dyDescent="0.2">
      <c r="A21" s="42"/>
      <c r="B21" t="str">
        <f t="shared" si="1"/>
        <v/>
      </c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</row>
    <row r="22" spans="1:52" x14ac:dyDescent="0.2">
      <c r="A22" s="42"/>
      <c r="B22" t="str">
        <f t="shared" si="1"/>
        <v/>
      </c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</row>
    <row r="23" spans="1:52" x14ac:dyDescent="0.2">
      <c r="A23" s="42"/>
      <c r="B23" t="str">
        <f t="shared" si="1"/>
        <v/>
      </c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</row>
    <row r="24" spans="1:52" x14ac:dyDescent="0.2">
      <c r="A24" s="42"/>
      <c r="B24" t="str">
        <f t="shared" si="1"/>
        <v/>
      </c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</row>
    <row r="25" spans="1:52" x14ac:dyDescent="0.2">
      <c r="A25" s="42"/>
      <c r="B25" t="str">
        <f t="shared" si="1"/>
        <v/>
      </c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</row>
    <row r="26" spans="1:52" x14ac:dyDescent="0.2">
      <c r="A26" s="42"/>
      <c r="B26" t="str">
        <f t="shared" si="1"/>
        <v/>
      </c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</row>
    <row r="27" spans="1:52" x14ac:dyDescent="0.2">
      <c r="A27" s="42"/>
      <c r="B27" t="str">
        <f t="shared" si="1"/>
        <v/>
      </c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</row>
    <row r="28" spans="1:52" x14ac:dyDescent="0.2">
      <c r="A28" s="42"/>
      <c r="B28" t="str">
        <f t="shared" si="1"/>
        <v/>
      </c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</row>
    <row r="29" spans="1:52" x14ac:dyDescent="0.2">
      <c r="A29" s="42"/>
      <c r="B29" t="str">
        <f t="shared" si="1"/>
        <v/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</row>
    <row r="30" spans="1:52" x14ac:dyDescent="0.2">
      <c r="A30" s="42"/>
      <c r="B30" t="str">
        <f t="shared" si="1"/>
        <v/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</row>
    <row r="31" spans="1:52" x14ac:dyDescent="0.2">
      <c r="A31" s="42"/>
      <c r="B31" t="str">
        <f t="shared" si="1"/>
        <v/>
      </c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</row>
    <row r="32" spans="1:52" x14ac:dyDescent="0.2">
      <c r="A32" s="42"/>
      <c r="B32" t="str">
        <f t="shared" si="1"/>
        <v/>
      </c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</row>
    <row r="33" spans="1:52" x14ac:dyDescent="0.2">
      <c r="A33" s="42"/>
      <c r="B33" t="str">
        <f t="shared" si="1"/>
        <v/>
      </c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</row>
    <row r="34" spans="1:52" x14ac:dyDescent="0.2">
      <c r="A34" s="42"/>
      <c r="B34" t="str">
        <f t="shared" si="1"/>
        <v/>
      </c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</row>
    <row r="35" spans="1:52" x14ac:dyDescent="0.2">
      <c r="A35" s="42"/>
      <c r="B35" t="str">
        <f t="shared" si="1"/>
        <v/>
      </c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</row>
    <row r="36" spans="1:52" x14ac:dyDescent="0.2">
      <c r="A36" s="42"/>
      <c r="B36" t="str">
        <f t="shared" si="1"/>
        <v/>
      </c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</row>
    <row r="37" spans="1:52" x14ac:dyDescent="0.2">
      <c r="A37" s="42"/>
      <c r="B37" t="str">
        <f t="shared" si="1"/>
        <v/>
      </c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</row>
    <row r="38" spans="1:52" x14ac:dyDescent="0.2">
      <c r="A38" s="42"/>
      <c r="B38" t="str">
        <f t="shared" si="1"/>
        <v/>
      </c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</row>
    <row r="39" spans="1:52" x14ac:dyDescent="0.2">
      <c r="A39" s="42"/>
      <c r="B39" t="str">
        <f t="shared" si="1"/>
        <v/>
      </c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</row>
    <row r="40" spans="1:52" x14ac:dyDescent="0.2">
      <c r="A40" s="42"/>
      <c r="B40" t="str">
        <f t="shared" si="1"/>
        <v/>
      </c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</row>
    <row r="41" spans="1:52" x14ac:dyDescent="0.2">
      <c r="A41" s="42"/>
      <c r="B41" t="str">
        <f t="shared" si="1"/>
        <v/>
      </c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</row>
    <row r="42" spans="1:52" x14ac:dyDescent="0.2">
      <c r="A42" s="42"/>
      <c r="B42" t="str">
        <f t="shared" si="1"/>
        <v/>
      </c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</row>
    <row r="43" spans="1:52" x14ac:dyDescent="0.2">
      <c r="A43" s="42"/>
      <c r="B43" t="str">
        <f t="shared" si="1"/>
        <v/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</row>
    <row r="44" spans="1:52" x14ac:dyDescent="0.2">
      <c r="A44" s="42"/>
      <c r="B44" t="str">
        <f t="shared" si="1"/>
        <v/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</row>
    <row r="45" spans="1:52" x14ac:dyDescent="0.2">
      <c r="A45" s="42"/>
      <c r="B45" t="str">
        <f t="shared" si="1"/>
        <v/>
      </c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</row>
    <row r="46" spans="1:52" x14ac:dyDescent="0.2">
      <c r="A46" s="42"/>
      <c r="B46" t="str">
        <f t="shared" si="1"/>
        <v/>
      </c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</row>
    <row r="47" spans="1:52" x14ac:dyDescent="0.2">
      <c r="A47" s="42"/>
      <c r="B47" t="str">
        <f t="shared" si="1"/>
        <v/>
      </c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</row>
    <row r="48" spans="1:52" x14ac:dyDescent="0.2">
      <c r="A48" s="42"/>
      <c r="B48" t="str">
        <f t="shared" si="1"/>
        <v/>
      </c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</row>
    <row r="49" spans="1:52" x14ac:dyDescent="0.2">
      <c r="A49" s="42"/>
      <c r="B49" t="str">
        <f t="shared" si="1"/>
        <v/>
      </c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</row>
    <row r="50" spans="1:52" x14ac:dyDescent="0.2">
      <c r="A50" s="42"/>
      <c r="B50" t="str">
        <f t="shared" si="1"/>
        <v/>
      </c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</row>
    <row r="51" spans="1:52" x14ac:dyDescent="0.2">
      <c r="A51" s="42"/>
      <c r="B51" t="str">
        <f t="shared" si="1"/>
        <v/>
      </c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</row>
    <row r="52" spans="1:52" x14ac:dyDescent="0.2">
      <c r="A52" s="42"/>
      <c r="B52" t="str">
        <f t="shared" si="1"/>
        <v/>
      </c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</row>
    <row r="53" spans="1:52" x14ac:dyDescent="0.2">
      <c r="A53" s="42"/>
      <c r="B53" t="str">
        <f t="shared" si="1"/>
        <v/>
      </c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</row>
    <row r="54" spans="1:52" x14ac:dyDescent="0.2">
      <c r="A54" s="42"/>
      <c r="B54" t="str">
        <f t="shared" si="1"/>
        <v/>
      </c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</row>
    <row r="55" spans="1:52" x14ac:dyDescent="0.2">
      <c r="A55" s="42"/>
      <c r="B55" t="str">
        <f t="shared" si="1"/>
        <v/>
      </c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</row>
    <row r="56" spans="1:52" x14ac:dyDescent="0.2">
      <c r="A56" s="42"/>
      <c r="B56" t="str">
        <f t="shared" si="1"/>
        <v/>
      </c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</row>
    <row r="57" spans="1:52" x14ac:dyDescent="0.2">
      <c r="A57" s="42"/>
      <c r="B57" t="str">
        <f t="shared" si="1"/>
        <v/>
      </c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</row>
    <row r="58" spans="1:52" x14ac:dyDescent="0.2">
      <c r="A58" s="42"/>
      <c r="B58" t="str">
        <f t="shared" si="1"/>
        <v/>
      </c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</row>
    <row r="59" spans="1:52" x14ac:dyDescent="0.2">
      <c r="A59" s="42"/>
      <c r="B59" t="str">
        <f t="shared" si="1"/>
        <v/>
      </c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</row>
    <row r="60" spans="1:52" x14ac:dyDescent="0.2">
      <c r="A60" s="42"/>
      <c r="B60" t="str">
        <f t="shared" si="1"/>
        <v/>
      </c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</row>
    <row r="61" spans="1:52" x14ac:dyDescent="0.2">
      <c r="A61" s="42"/>
      <c r="B61" t="str">
        <f t="shared" si="1"/>
        <v/>
      </c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</row>
    <row r="62" spans="1:52" x14ac:dyDescent="0.2">
      <c r="A62" s="42"/>
      <c r="B62" t="str">
        <f t="shared" si="1"/>
        <v/>
      </c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</row>
    <row r="63" spans="1:52" x14ac:dyDescent="0.2">
      <c r="A63" s="42"/>
      <c r="B63" t="str">
        <f t="shared" si="1"/>
        <v/>
      </c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</row>
    <row r="64" spans="1:52" x14ac:dyDescent="0.2">
      <c r="A64" s="42"/>
      <c r="B64" t="str">
        <f t="shared" si="1"/>
        <v/>
      </c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</row>
    <row r="65" spans="1:52" x14ac:dyDescent="0.2">
      <c r="A65" s="42"/>
      <c r="B65" t="str">
        <f t="shared" si="1"/>
        <v/>
      </c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</row>
    <row r="66" spans="1:52" x14ac:dyDescent="0.2">
      <c r="A66" s="42"/>
      <c r="B66" t="str">
        <f t="shared" si="1"/>
        <v/>
      </c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</row>
    <row r="67" spans="1:52" x14ac:dyDescent="0.2">
      <c r="A67" s="42"/>
      <c r="B67" t="str">
        <f t="shared" si="1"/>
        <v/>
      </c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</row>
    <row r="68" spans="1:52" x14ac:dyDescent="0.2">
      <c r="A68" s="42"/>
      <c r="B68" t="str">
        <f t="shared" si="1"/>
        <v/>
      </c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</row>
    <row r="69" spans="1:52" x14ac:dyDescent="0.2">
      <c r="A69" s="42"/>
      <c r="B69" t="str">
        <f t="shared" si="1"/>
        <v/>
      </c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</row>
    <row r="70" spans="1:52" x14ac:dyDescent="0.2">
      <c r="A70" s="42"/>
      <c r="B70" t="str">
        <f t="shared" si="1"/>
        <v/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</row>
    <row r="71" spans="1:52" x14ac:dyDescent="0.2">
      <c r="A71" s="42"/>
      <c r="B71" t="str">
        <f t="shared" si="1"/>
        <v/>
      </c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</row>
    <row r="72" spans="1:52" x14ac:dyDescent="0.2">
      <c r="A72" s="42"/>
      <c r="B72" t="str">
        <f t="shared" si="1"/>
        <v/>
      </c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</row>
    <row r="73" spans="1:52" x14ac:dyDescent="0.2">
      <c r="A73" s="42"/>
      <c r="B73" t="str">
        <f t="shared" si="1"/>
        <v/>
      </c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</row>
    <row r="74" spans="1:52" x14ac:dyDescent="0.2">
      <c r="A74" s="42"/>
      <c r="B74" t="str">
        <f t="shared" si="1"/>
        <v/>
      </c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</row>
    <row r="75" spans="1:52" x14ac:dyDescent="0.2">
      <c r="A75" s="42"/>
      <c r="B75" t="str">
        <f t="shared" si="1"/>
        <v/>
      </c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</row>
    <row r="76" spans="1:52" x14ac:dyDescent="0.2">
      <c r="A76" s="42"/>
      <c r="B76" t="str">
        <f t="shared" si="1"/>
        <v/>
      </c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</row>
    <row r="77" spans="1:52" x14ac:dyDescent="0.2">
      <c r="A77" s="42"/>
      <c r="B77" t="str">
        <f t="shared" si="1"/>
        <v/>
      </c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</row>
    <row r="78" spans="1:52" x14ac:dyDescent="0.2">
      <c r="A78" s="42"/>
      <c r="B78" t="str">
        <f t="shared" si="1"/>
        <v/>
      </c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</row>
    <row r="79" spans="1:52" x14ac:dyDescent="0.2">
      <c r="A79" s="42"/>
      <c r="B79" t="str">
        <f t="shared" si="1"/>
        <v/>
      </c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</row>
    <row r="80" spans="1:52" x14ac:dyDescent="0.2">
      <c r="A80" s="42"/>
      <c r="B80" t="str">
        <f t="shared" si="1"/>
        <v/>
      </c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</row>
    <row r="81" spans="1:52" x14ac:dyDescent="0.2">
      <c r="A81" s="42"/>
      <c r="B81" t="str">
        <f t="shared" ref="B81:B100" si="2">IF(A81=0,"",SUM(C81:V81))</f>
        <v/>
      </c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</row>
    <row r="82" spans="1:52" x14ac:dyDescent="0.2">
      <c r="A82" s="42"/>
      <c r="B82" t="str">
        <f t="shared" si="2"/>
        <v/>
      </c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</row>
    <row r="83" spans="1:52" x14ac:dyDescent="0.2">
      <c r="A83" s="42"/>
      <c r="B83" t="str">
        <f t="shared" si="2"/>
        <v/>
      </c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</row>
    <row r="84" spans="1:52" x14ac:dyDescent="0.2">
      <c r="A84" s="42"/>
      <c r="B84" t="str">
        <f t="shared" si="2"/>
        <v/>
      </c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</row>
    <row r="85" spans="1:52" x14ac:dyDescent="0.2">
      <c r="A85" s="42"/>
      <c r="B85" t="str">
        <f t="shared" si="2"/>
        <v/>
      </c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</row>
    <row r="86" spans="1:52" x14ac:dyDescent="0.2">
      <c r="A86" s="42"/>
      <c r="B86" t="str">
        <f t="shared" si="2"/>
        <v/>
      </c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</row>
    <row r="87" spans="1:52" x14ac:dyDescent="0.2">
      <c r="A87" s="42"/>
      <c r="B87" t="str">
        <f t="shared" si="2"/>
        <v/>
      </c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</row>
    <row r="88" spans="1:52" x14ac:dyDescent="0.2">
      <c r="A88" s="42"/>
      <c r="B88" t="str">
        <f t="shared" si="2"/>
        <v/>
      </c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</row>
    <row r="89" spans="1:52" x14ac:dyDescent="0.2">
      <c r="A89" s="42"/>
      <c r="B89" t="str">
        <f t="shared" si="2"/>
        <v/>
      </c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</row>
    <row r="90" spans="1:52" x14ac:dyDescent="0.2">
      <c r="A90" s="42"/>
      <c r="B90" t="str">
        <f t="shared" si="2"/>
        <v/>
      </c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</row>
    <row r="91" spans="1:52" x14ac:dyDescent="0.2">
      <c r="A91" s="42"/>
      <c r="B91" t="str">
        <f t="shared" si="2"/>
        <v/>
      </c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</row>
    <row r="92" spans="1:52" x14ac:dyDescent="0.2">
      <c r="A92" s="42"/>
      <c r="B92" t="str">
        <f t="shared" si="2"/>
        <v/>
      </c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</row>
    <row r="93" spans="1:52" x14ac:dyDescent="0.2">
      <c r="A93" s="42"/>
      <c r="B93" t="str">
        <f t="shared" si="2"/>
        <v/>
      </c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</row>
    <row r="94" spans="1:52" x14ac:dyDescent="0.2">
      <c r="A94" s="42"/>
      <c r="B94" t="str">
        <f t="shared" si="2"/>
        <v/>
      </c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</row>
    <row r="95" spans="1:52" x14ac:dyDescent="0.2">
      <c r="A95" s="42"/>
      <c r="B95" t="str">
        <f t="shared" si="2"/>
        <v/>
      </c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</row>
    <row r="96" spans="1:52" x14ac:dyDescent="0.2">
      <c r="A96" s="42"/>
      <c r="B96" t="str">
        <f t="shared" si="2"/>
        <v/>
      </c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</row>
    <row r="97" spans="1:52" x14ac:dyDescent="0.2">
      <c r="A97" s="42"/>
      <c r="B97" t="str">
        <f t="shared" si="2"/>
        <v/>
      </c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</row>
    <row r="98" spans="1:52" x14ac:dyDescent="0.2">
      <c r="A98" s="42"/>
      <c r="B98" t="str">
        <f t="shared" si="2"/>
        <v/>
      </c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</row>
    <row r="99" spans="1:52" x14ac:dyDescent="0.2">
      <c r="A99" s="42"/>
      <c r="B99" t="str">
        <f t="shared" si="2"/>
        <v/>
      </c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</row>
    <row r="100" spans="1:52" x14ac:dyDescent="0.2">
      <c r="A100" s="42"/>
      <c r="B100" t="str">
        <f t="shared" si="2"/>
        <v/>
      </c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</row>
  </sheetData>
  <sheetProtection algorithmName="SHA-512" hashValue="/RWaRnJGiUohC/m3L6jQ+3c2G/BMw8qnkQzt0gkwsy5BWaSBaltnqSXmb7K2Zi3AI+NwGZN6G7JQH3S5AEnKUA==" saltValue="00THQT9/V25HX/RlClehTQ==" spinCount="100000" sheet="1" objects="1" scenarios="1"/>
  <mergeCells count="1">
    <mergeCell ref="D6:F6"/>
  </mergeCells>
  <conditionalFormatting sqref="B13:V13">
    <cfRule type="cellIs" dxfId="25" priority="5" operator="notEqual">
      <formula>0</formula>
    </cfRule>
  </conditionalFormatting>
  <conditionalFormatting sqref="B15:V15">
    <cfRule type="expression" dxfId="24" priority="8">
      <formula>B$13&lt;&gt;0</formula>
    </cfRule>
  </conditionalFormatting>
  <conditionalFormatting sqref="C16:V103">
    <cfRule type="expression" dxfId="23" priority="11">
      <formula>AND(C$13&lt;&gt;0,$A16&lt;&gt;0)</formula>
    </cfRule>
  </conditionalFormatting>
  <conditionalFormatting sqref="A16:A103">
    <cfRule type="cellIs" dxfId="22" priority="9" operator="notEqual">
      <formula>0</formula>
    </cfRule>
  </conditionalFormatting>
  <conditionalFormatting sqref="B16:B103">
    <cfRule type="cellIs" dxfId="21" priority="10" operator="notEqual">
      <formula>""</formula>
    </cfRule>
  </conditionalFormatting>
  <conditionalFormatting sqref="B14:V14">
    <cfRule type="expression" dxfId="20" priority="7">
      <formula>B$13&lt;&gt;0</formula>
    </cfRule>
  </conditionalFormatting>
  <conditionalFormatting sqref="C14:V15">
    <cfRule type="expression" dxfId="19" priority="6">
      <formula>C$14&lt;C$15</formula>
    </cfRule>
  </conditionalFormatting>
  <conditionalFormatting sqref="G6:V6">
    <cfRule type="cellIs" dxfId="18" priority="4" operator="greaterThan">
      <formula>0</formula>
    </cfRule>
  </conditionalFormatting>
  <conditionalFormatting sqref="E8:V8">
    <cfRule type="expression" dxfId="17" priority="2">
      <formula>E$9&lt;&gt;0</formula>
    </cfRule>
  </conditionalFormatting>
  <conditionalFormatting sqref="E9:V9">
    <cfRule type="cellIs" dxfId="16" priority="3" operator="notEqual">
      <formula>0</formula>
    </cfRule>
  </conditionalFormatting>
  <conditionalFormatting sqref="E1:V1">
    <cfRule type="cellIs" dxfId="15" priority="1" operator="greaterThan">
      <formula>0</formula>
    </cfRule>
  </conditionalFormatting>
  <dataValidations count="2">
    <dataValidation type="list" allowBlank="1" showInputMessage="1" showErrorMessage="1" sqref="A16:A99" xr:uid="{65431D34-C0F3-473A-B462-F920F0A31219}">
      <formula1>ProjectListDropDown</formula1>
    </dataValidation>
    <dataValidation type="list" allowBlank="1" showInputMessage="1" showErrorMessage="1" sqref="B1 Z1" xr:uid="{331AE44F-5BDC-4E51-AA36-AAD6E64A9D1A}">
      <formula1>PersonnelListDropDown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1D63D-5415-429C-9572-20CF2D159337}">
  <sheetPr codeName="Sheet2">
    <tabColor rgb="FFCBDEDE"/>
  </sheetPr>
  <dimension ref="A1:G11"/>
  <sheetViews>
    <sheetView workbookViewId="0">
      <selection activeCell="B3" sqref="B3"/>
    </sheetView>
  </sheetViews>
  <sheetFormatPr defaultRowHeight="12.75" x14ac:dyDescent="0.2"/>
  <cols>
    <col min="1" max="1" width="14.5703125" style="42" bestFit="1" customWidth="1"/>
    <col min="2" max="2" width="18.140625" style="42" bestFit="1" customWidth="1"/>
    <col min="3" max="4" width="8.140625" style="42" bestFit="1" customWidth="1"/>
    <col min="5" max="5" width="16.85546875" style="42" bestFit="1" customWidth="1"/>
    <col min="6" max="6" width="16.85546875" style="42" customWidth="1"/>
    <col min="7" max="7" width="18.28515625" style="42" customWidth="1"/>
    <col min="9" max="9" width="17" customWidth="1"/>
  </cols>
  <sheetData>
    <row r="1" spans="1:7" x14ac:dyDescent="0.2">
      <c r="A1" t="s">
        <v>3</v>
      </c>
      <c r="B1" s="1" t="s">
        <v>72</v>
      </c>
      <c r="C1" t="s">
        <v>4</v>
      </c>
      <c r="D1" t="s">
        <v>5</v>
      </c>
      <c r="E1" t="s">
        <v>6</v>
      </c>
      <c r="F1" s="1" t="s">
        <v>34</v>
      </c>
      <c r="G1" s="1" t="s">
        <v>7</v>
      </c>
    </row>
    <row r="2" spans="1:7" x14ac:dyDescent="0.2">
      <c r="A2" s="42" t="s">
        <v>41</v>
      </c>
      <c r="B2" s="48" t="s">
        <v>73</v>
      </c>
      <c r="C2" s="47">
        <v>43891</v>
      </c>
      <c r="D2" s="47">
        <v>45351</v>
      </c>
      <c r="E2" t="s">
        <v>42</v>
      </c>
      <c r="F2" s="47" t="s">
        <v>43</v>
      </c>
      <c r="G2" s="42">
        <v>140</v>
      </c>
    </row>
    <row r="3" spans="1:7" x14ac:dyDescent="0.2">
      <c r="A3" s="42" t="s">
        <v>44</v>
      </c>
      <c r="B3" s="48" t="s">
        <v>73</v>
      </c>
      <c r="C3" s="47">
        <v>43922</v>
      </c>
      <c r="D3" s="47">
        <v>45016</v>
      </c>
      <c r="E3" s="1" t="s">
        <v>45</v>
      </c>
      <c r="F3" s="47" t="s">
        <v>43</v>
      </c>
      <c r="G3" s="42">
        <v>100</v>
      </c>
    </row>
    <row r="4" spans="1:7" x14ac:dyDescent="0.2">
      <c r="A4" s="42" t="s">
        <v>46</v>
      </c>
      <c r="B4" s="48" t="s">
        <v>73</v>
      </c>
      <c r="C4" s="47">
        <v>43922</v>
      </c>
      <c r="D4" s="47">
        <v>44651</v>
      </c>
      <c r="E4" s="1" t="s">
        <v>45</v>
      </c>
      <c r="F4" s="47" t="s">
        <v>43</v>
      </c>
      <c r="G4" s="42">
        <v>35</v>
      </c>
    </row>
    <row r="5" spans="1:7" x14ac:dyDescent="0.2">
      <c r="A5" s="42" t="s">
        <v>47</v>
      </c>
      <c r="B5" s="48" t="s">
        <v>73</v>
      </c>
      <c r="C5" s="47">
        <v>44927</v>
      </c>
      <c r="D5" s="47">
        <v>46387</v>
      </c>
      <c r="E5" t="s">
        <v>48</v>
      </c>
      <c r="F5" s="47" t="s">
        <v>71</v>
      </c>
      <c r="G5" s="42">
        <v>75</v>
      </c>
    </row>
    <row r="6" spans="1:7" x14ac:dyDescent="0.2">
      <c r="A6" s="42" t="s">
        <v>49</v>
      </c>
      <c r="B6" s="48" t="s">
        <v>73</v>
      </c>
      <c r="C6" s="47">
        <v>45292</v>
      </c>
      <c r="D6" s="47">
        <v>46387</v>
      </c>
      <c r="E6" t="s">
        <v>42</v>
      </c>
      <c r="F6" s="47" t="s">
        <v>71</v>
      </c>
      <c r="G6" s="42">
        <v>65</v>
      </c>
    </row>
    <row r="7" spans="1:7" x14ac:dyDescent="0.2">
      <c r="A7" s="42" t="s">
        <v>50</v>
      </c>
      <c r="B7" s="47" t="s">
        <v>51</v>
      </c>
      <c r="C7" s="47">
        <v>44228</v>
      </c>
      <c r="D7" s="47">
        <v>45688</v>
      </c>
      <c r="E7" s="1" t="s">
        <v>45</v>
      </c>
      <c r="F7" s="47" t="str" cm="1">
        <f t="array" aca="1" ref="F7" ca="1">_xlfn.IFS(
  TODAY()&lt;ProjectList[[#This Row],[Start]],"to be started",
  TODAY()&gt;ProjectList[[#This Row],[End]],"finished",
  AND(TODAY()&lt;=ProjectList[[#This Row],[End]],TODAY()&gt;=ProjectList[[#This Row],[Start]]),"ongoing")</f>
        <v>finished</v>
      </c>
    </row>
    <row r="8" spans="1:7" x14ac:dyDescent="0.2">
      <c r="A8" s="42" t="s">
        <v>52</v>
      </c>
      <c r="B8" s="47" t="s">
        <v>51</v>
      </c>
      <c r="C8" s="47">
        <v>45474</v>
      </c>
      <c r="D8" s="47">
        <v>46568</v>
      </c>
      <c r="E8" t="s">
        <v>42</v>
      </c>
      <c r="F8" s="47" t="str" cm="1">
        <f t="array" aca="1" ref="F8" ca="1">_xlfn.IFS(
  TODAY()&lt;ProjectList[[#This Row],[Start]],"to be started",
  TODAY()&gt;ProjectList[[#This Row],[End]],"finished",
  AND(TODAY()&lt;=ProjectList[[#This Row],[End]],TODAY()&gt;=ProjectList[[#This Row],[Start]]),"ongoing")</f>
        <v>ongoing</v>
      </c>
    </row>
    <row r="9" spans="1:7" x14ac:dyDescent="0.2">
      <c r="A9" s="42" t="s">
        <v>53</v>
      </c>
      <c r="B9" s="48" t="s">
        <v>73</v>
      </c>
      <c r="C9" s="47">
        <v>45597</v>
      </c>
      <c r="D9" s="47">
        <v>45961</v>
      </c>
      <c r="E9" t="s">
        <v>48</v>
      </c>
      <c r="F9" s="47" t="s">
        <v>71</v>
      </c>
      <c r="G9" s="42">
        <v>6</v>
      </c>
    </row>
    <row r="10" spans="1:7" x14ac:dyDescent="0.2">
      <c r="A10" s="42" t="s">
        <v>54</v>
      </c>
      <c r="B10" s="47" t="s">
        <v>51</v>
      </c>
      <c r="C10" s="47">
        <v>45689</v>
      </c>
      <c r="D10" s="47">
        <v>47149</v>
      </c>
      <c r="E10" t="s">
        <v>48</v>
      </c>
      <c r="F10" s="47" t="str" cm="1">
        <f t="array" aca="1" ref="F10" ca="1">_xlfn.IFS(
  TODAY()&lt;ProjectList[[#This Row],[Start]],"to be started",
  TODAY()&gt;ProjectList[[#This Row],[End]],"finished",
  AND(TODAY()&lt;=ProjectList[[#This Row],[End]],TODAY()&gt;=ProjectList[[#This Row],[Start]]),"ongoing")</f>
        <v>ongoing</v>
      </c>
    </row>
    <row r="11" spans="1:7" x14ac:dyDescent="0.2">
      <c r="A11" s="42" t="s">
        <v>55</v>
      </c>
      <c r="B11" s="48" t="s">
        <v>73</v>
      </c>
      <c r="C11" s="47">
        <v>45689</v>
      </c>
      <c r="D11" s="47">
        <v>47149</v>
      </c>
      <c r="E11" t="s">
        <v>48</v>
      </c>
      <c r="F11" s="47" t="str" cm="1">
        <f t="array" aca="1" ref="F11" ca="1">_xlfn.IFS(
  TODAY()&lt;ProjectList[[#This Row],[Start]],"to be started",
  TODAY()&gt;ProjectList[[#This Row],[End]],"finished",
  AND(TODAY()&lt;=ProjectList[[#This Row],[End]],TODAY()&gt;=ProjectList[[#This Row],[Start]]),"ongoing")</f>
        <v>ongoing</v>
      </c>
      <c r="G11" s="42">
        <v>130</v>
      </c>
    </row>
  </sheetData>
  <sheetProtection sort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570F9-B52B-4BCD-AF8E-8E4381C1E85F}">
  <sheetPr codeName="Sheet9">
    <tabColor rgb="FFCBDEDE"/>
  </sheetPr>
  <dimension ref="B2:H45"/>
  <sheetViews>
    <sheetView workbookViewId="0">
      <selection activeCell="C20" sqref="C20"/>
    </sheetView>
  </sheetViews>
  <sheetFormatPr defaultRowHeight="12.75" x14ac:dyDescent="0.2"/>
  <cols>
    <col min="1" max="1" width="6.140625" customWidth="1"/>
    <col min="2" max="2" width="18.5703125" customWidth="1"/>
    <col min="3" max="3" width="26.85546875" customWidth="1"/>
    <col min="4" max="4" width="22.140625" customWidth="1"/>
    <col min="5" max="6" width="21.42578125" customWidth="1"/>
  </cols>
  <sheetData>
    <row r="2" spans="2:8" ht="15.75" x14ac:dyDescent="0.2">
      <c r="B2" s="58" t="s">
        <v>36</v>
      </c>
      <c r="C2" s="58"/>
      <c r="E2" s="58" t="s">
        <v>31</v>
      </c>
      <c r="F2" s="58"/>
    </row>
    <row r="3" spans="2:8" x14ac:dyDescent="0.2">
      <c r="B3" s="26" t="s">
        <v>33</v>
      </c>
      <c r="C3" s="36"/>
      <c r="D3" s="34"/>
      <c r="E3" s="26" t="s">
        <v>30</v>
      </c>
      <c r="F3" s="39" t="s">
        <v>62</v>
      </c>
    </row>
    <row r="4" spans="2:8" x14ac:dyDescent="0.2">
      <c r="B4" s="15" t="s">
        <v>0</v>
      </c>
      <c r="C4" s="36"/>
      <c r="D4" s="35"/>
      <c r="E4" s="27" t="s">
        <v>9</v>
      </c>
      <c r="F4" s="27" t="s">
        <v>32</v>
      </c>
      <c r="H4" s="6"/>
    </row>
    <row r="5" spans="2:8" x14ac:dyDescent="0.2">
      <c r="B5" s="15" t="s">
        <v>2</v>
      </c>
      <c r="C5" s="36"/>
      <c r="D5" s="35"/>
      <c r="E5" s="40"/>
      <c r="F5" s="41"/>
      <c r="H5" s="6"/>
    </row>
    <row r="6" spans="2:8" x14ac:dyDescent="0.2">
      <c r="B6" s="15" t="s">
        <v>1</v>
      </c>
      <c r="C6" s="36"/>
    </row>
    <row r="7" spans="2:8" x14ac:dyDescent="0.2">
      <c r="B7" s="15" t="s">
        <v>25</v>
      </c>
      <c r="C7" s="36"/>
      <c r="H7" s="6"/>
    </row>
    <row r="8" spans="2:8" x14ac:dyDescent="0.2">
      <c r="B8" s="15" t="s">
        <v>8</v>
      </c>
      <c r="C8" s="36"/>
    </row>
    <row r="9" spans="2:8" x14ac:dyDescent="0.2">
      <c r="B9" s="15" t="s">
        <v>29</v>
      </c>
      <c r="C9" s="37"/>
      <c r="E9" s="59" t="str">
        <f>_xlfn.CONCAT("Current Work Regimes for ",F3)</f>
        <v>Current Work Regimes for Bobby Turner</v>
      </c>
      <c r="F9" s="60"/>
    </row>
    <row r="10" spans="2:8" x14ac:dyDescent="0.2">
      <c r="B10" s="26" t="s">
        <v>37</v>
      </c>
      <c r="C10" s="38"/>
      <c r="E10" s="61"/>
      <c r="F10" s="62"/>
    </row>
    <row r="11" spans="2:8" x14ac:dyDescent="0.2">
      <c r="E11" s="28" t="s">
        <v>9</v>
      </c>
      <c r="F11" s="28" t="s">
        <v>32</v>
      </c>
    </row>
    <row r="12" spans="2:8" x14ac:dyDescent="0.2">
      <c r="E12" s="9" cm="1">
        <f t="array" ref="E12:F12">_xlfn._xlws.SORT(_xlfn._xlws.FILTER(WorkRegime[[Work regime]:[Start/Change date]],WorkRegime[Name]=F3),2,1)</f>
        <v>1</v>
      </c>
      <c r="F12" s="7">
        <v>39083</v>
      </c>
    </row>
    <row r="13" spans="2:8" x14ac:dyDescent="0.2">
      <c r="E13" s="9"/>
      <c r="F13" s="7"/>
    </row>
    <row r="14" spans="2:8" x14ac:dyDescent="0.2">
      <c r="E14" s="9"/>
      <c r="F14" s="7"/>
    </row>
    <row r="15" spans="2:8" x14ac:dyDescent="0.2">
      <c r="E15" s="9"/>
      <c r="F15" s="7"/>
    </row>
    <row r="16" spans="2:8" x14ac:dyDescent="0.2">
      <c r="E16" s="9"/>
      <c r="F16" s="7"/>
    </row>
    <row r="17" spans="5:6" x14ac:dyDescent="0.2">
      <c r="E17" s="23"/>
      <c r="F17" s="8"/>
    </row>
    <row r="18" spans="5:6" x14ac:dyDescent="0.2">
      <c r="E18" s="23"/>
      <c r="F18" s="8"/>
    </row>
    <row r="19" spans="5:6" x14ac:dyDescent="0.2">
      <c r="E19" s="23"/>
      <c r="F19" s="8"/>
    </row>
    <row r="20" spans="5:6" x14ac:dyDescent="0.2">
      <c r="E20" s="9"/>
      <c r="F20" s="7"/>
    </row>
    <row r="21" spans="5:6" x14ac:dyDescent="0.2">
      <c r="E21" s="9"/>
      <c r="F21" s="7"/>
    </row>
    <row r="22" spans="5:6" x14ac:dyDescent="0.2">
      <c r="E22" s="9"/>
      <c r="F22" s="7"/>
    </row>
    <row r="23" spans="5:6" x14ac:dyDescent="0.2">
      <c r="E23" s="9"/>
      <c r="F23" s="7"/>
    </row>
    <row r="24" spans="5:6" x14ac:dyDescent="0.2">
      <c r="E24" s="9"/>
      <c r="F24" s="7"/>
    </row>
    <row r="25" spans="5:6" x14ac:dyDescent="0.2">
      <c r="E25" s="9"/>
      <c r="F25" s="7"/>
    </row>
    <row r="26" spans="5:6" x14ac:dyDescent="0.2">
      <c r="E26" s="9"/>
      <c r="F26" s="7"/>
    </row>
    <row r="27" spans="5:6" x14ac:dyDescent="0.2">
      <c r="E27" s="9"/>
      <c r="F27" s="7"/>
    </row>
    <row r="28" spans="5:6" x14ac:dyDescent="0.2">
      <c r="E28" s="9"/>
      <c r="F28" s="7"/>
    </row>
    <row r="29" spans="5:6" x14ac:dyDescent="0.2">
      <c r="E29" s="9"/>
      <c r="F29" s="7"/>
    </row>
    <row r="30" spans="5:6" x14ac:dyDescent="0.2">
      <c r="E30" s="9"/>
      <c r="F30" s="7"/>
    </row>
    <row r="31" spans="5:6" x14ac:dyDescent="0.2">
      <c r="E31" s="9"/>
      <c r="F31" s="7"/>
    </row>
    <row r="32" spans="5:6" x14ac:dyDescent="0.2">
      <c r="E32" s="9"/>
      <c r="F32" s="7"/>
    </row>
    <row r="33" spans="5:6" x14ac:dyDescent="0.2">
      <c r="E33" s="9"/>
      <c r="F33" s="7"/>
    </row>
    <row r="34" spans="5:6" x14ac:dyDescent="0.2">
      <c r="E34" s="9"/>
      <c r="F34" s="7"/>
    </row>
    <row r="35" spans="5:6" x14ac:dyDescent="0.2">
      <c r="E35" s="9"/>
      <c r="F35" s="7"/>
    </row>
    <row r="36" spans="5:6" x14ac:dyDescent="0.2">
      <c r="E36" s="9"/>
      <c r="F36" s="7"/>
    </row>
    <row r="37" spans="5:6" x14ac:dyDescent="0.2">
      <c r="E37" s="9"/>
      <c r="F37" s="7"/>
    </row>
    <row r="38" spans="5:6" x14ac:dyDescent="0.2">
      <c r="E38" s="9"/>
      <c r="F38" s="7"/>
    </row>
    <row r="39" spans="5:6" x14ac:dyDescent="0.2">
      <c r="E39" s="9"/>
      <c r="F39" s="7"/>
    </row>
    <row r="40" spans="5:6" x14ac:dyDescent="0.2">
      <c r="E40" s="9"/>
      <c r="F40" s="7"/>
    </row>
    <row r="41" spans="5:6" x14ac:dyDescent="0.2">
      <c r="E41" s="9"/>
      <c r="F41" s="7"/>
    </row>
    <row r="42" spans="5:6" x14ac:dyDescent="0.2">
      <c r="E42" s="9"/>
      <c r="F42" s="7"/>
    </row>
    <row r="43" spans="5:6" x14ac:dyDescent="0.2">
      <c r="E43" s="9"/>
      <c r="F43" s="7"/>
    </row>
    <row r="44" spans="5:6" x14ac:dyDescent="0.2">
      <c r="E44" s="9"/>
      <c r="F44" s="7"/>
    </row>
    <row r="45" spans="5:6" x14ac:dyDescent="0.2">
      <c r="E45" s="9"/>
      <c r="F45" s="7"/>
    </row>
  </sheetData>
  <sheetProtection algorithmName="SHA-512" hashValue="YRPQD50eu4Qmfls8rb3/23ehutu9HwbTSvzBxbHJ7no5F3pVCH+3anifPedt+pbvDI/cr1Xt4F4uDFEdkyyo4Q==" saltValue="9lBTa+Q8wH4cM54VPASkpA==" spinCount="100000" sheet="1" objects="1" scenarios="1"/>
  <mergeCells count="3">
    <mergeCell ref="E2:F2"/>
    <mergeCell ref="E9:F10"/>
    <mergeCell ref="B2:C2"/>
  </mergeCells>
  <conditionalFormatting sqref="E12:F45">
    <cfRule type="expression" dxfId="6" priority="2">
      <formula>$F12&lt;&gt;0</formula>
    </cfRule>
  </conditionalFormatting>
  <dataValidations count="1">
    <dataValidation type="list" allowBlank="1" showInputMessage="1" showErrorMessage="1" sqref="F3" xr:uid="{8330CBE2-CD08-40FB-B69E-5044064A20E1}">
      <formula1>PersonnelListDropDown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81DBE-3C26-4053-BFBC-A42E5E792815}">
  <sheetPr codeName="Sheet1"/>
  <dimension ref="A1:K16"/>
  <sheetViews>
    <sheetView topLeftCell="A91" workbookViewId="0">
      <selection activeCell="D98" sqref="D98"/>
    </sheetView>
  </sheetViews>
  <sheetFormatPr defaultRowHeight="12.75" x14ac:dyDescent="0.2"/>
  <cols>
    <col min="1" max="1" width="23.7109375" bestFit="1" customWidth="1"/>
  </cols>
  <sheetData>
    <row r="1" spans="1:11" x14ac:dyDescent="0.2">
      <c r="A1" s="1"/>
      <c r="B1" cm="1">
        <f t="array" ref="B1:K1">_xlfn.SEQUENCE(1,COUNT(_xlfn.UNIQUE(Database[Year])),MIN(Database[Year]),1)</f>
        <v>2020</v>
      </c>
      <c r="C1">
        <v>2021</v>
      </c>
      <c r="D1">
        <v>2022</v>
      </c>
      <c r="E1">
        <v>2023</v>
      </c>
      <c r="F1">
        <v>2024</v>
      </c>
      <c r="G1">
        <v>2025</v>
      </c>
      <c r="H1">
        <v>2026</v>
      </c>
      <c r="I1">
        <v>2027</v>
      </c>
      <c r="J1">
        <v>2028</v>
      </c>
      <c r="K1">
        <v>2029</v>
      </c>
    </row>
    <row r="2" spans="1:11" x14ac:dyDescent="0.2">
      <c r="A2" t="str" cm="1">
        <f t="array" ref="A2:A11">PersonnelList[Name]</f>
        <v>John Doe</v>
      </c>
      <c r="B2" cm="1">
        <f t="array" ref="B2:K11">_xlfn.LET(
  _xlpm.personYearCalc, _xlfn.LAMBDA(_xlpm.Person,_xlpm.Year,
    _xlfn.LET(
      _xlpm.person_array, _xlfn._xlws.FILTER(WorkRegime[], WorkRegime[Name] = _xlpm.Person),
      _xlpm.sorted_array, _xlfn._xlws.SORT(_xlpm.person_array, 3),
      _xlpm.sorted_array_filtered, _xlfn._xlws.FILTER(_xlpm.sorted_array, YEAR(_xlfn.CHOOSECOLS(_xlpm.sorted_array, 3)) &lt; _xlpm.Year),
      _xlpm.years_array, YEAR(_xlfn.CHOOSECOLS(_xlpm.sorted_array, 3)),
      _xlpm.position, IFERROR(MATCH(_xlpm.Year, _xlpm.years_array, 0), IF(_xlpm.Year &gt; MAX(_xlpm.years_array), "future", IF(_xlpm.Year &lt; MIN(_xlpm.years_array), "past","middle"))),
      _xlpm.start_value, _xlfn.IFS(
        _xlpm.position = "future", INDEX(_xlpm.sorted_array, ROWS(_xlpm.sorted_array), 2),
        _xlpm.position = "past", 0,
        _xlpm.position = "middle", INDEX(_xlpm.sorted_array_filtered, ROWS(_xlpm.sorted_array_filtered),2),
        _xlpm.position = 1, 0,
        TRUE, INDEX(_xlpm.sorted_array, _xlpm.position - 1, 2)
      ),
      _xlpm.year_entries, _xlfn._xlws.FILTER(_xlpm.sorted_array, YEAR(_xlfn.CHOOSECOLS(_xlpm.sorted_array, 3)) = _xlpm.Year),
      _xlpm.date_array, IFERROR(_xlfn.CHOOSECOLS(_xlpm.year_entries, 3), DATE(_xlpm.Year, 12, 31)),
      _xlpm.monthly_multiplier, ROUND((_xlfn.VSTACK(_xlpm.date_array, DATE(_xlpm.Year, 12, 31)) - _xlfn.VSTACK(DATE(_xlpm.Year, 1, 1), _xlpm.date_array) + 1) * 12 / 365, 1),
      _xlpm.regime_array, IFERROR(_xlfn.CHOOSECOLS(_xlpm.year_entries, 2), 0),
      _xlpm.value_mult, _xlfn.VSTACK(_xlpm.start_value, _xlpm.regime_array),
      IFERROR(SUMPRODUCT(_xlpm.monthly_multiplier * _xlpm.value_mult), _xlpm.start_value * 12)
    )
  ),
  _xlpm.maxPM, _xlfn.MAKEARRAY(COUNTA(_xlfn.ANCHORARRAY(A2)), COUNTA(_xlfn.ANCHORARRAY(B1)), _xlfn.LAMBDA(_xlpm.row,_xlpm.col, _xlpm.personYearCalc(INDEX(_xlfn.ANCHORARRAY(A2), _xlpm.row), INDEX(_xlfn.ANCHORARRAY(B1), _xlpm.col)))),
  _xlpm.totPM, SUMIFS(Database[PMs],Database[Year],_xlfn.ANCHORARRAY(B1),Database[Name],_xlfn.ANCHORARRAY(A2)),
  IF(_xlpm.totPM&gt;_xlpm.maxPM,0,1)
)</f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</row>
    <row r="3" spans="1:11" x14ac:dyDescent="0.2">
      <c r="A3" t="str">
        <v>Jane Smith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 x14ac:dyDescent="0.2">
      <c r="A4" t="str">
        <v>Bobby Turner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</row>
    <row r="5" spans="1:11" x14ac:dyDescent="0.2">
      <c r="A5" t="str">
        <v>Lily Fernandez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</row>
    <row r="6" spans="1:11" x14ac:dyDescent="0.2">
      <c r="A6" t="str">
        <v>Mark Overbooked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0</v>
      </c>
      <c r="I6">
        <v>1</v>
      </c>
      <c r="J6">
        <v>1</v>
      </c>
      <c r="K6">
        <v>1</v>
      </c>
    </row>
    <row r="7" spans="1:11" x14ac:dyDescent="0.2">
      <c r="A7" t="str">
        <v>Julianna Bright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 x14ac:dyDescent="0.2">
      <c r="A8" t="str">
        <v>Paul Greenfield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</row>
    <row r="9" spans="1:11" x14ac:dyDescent="0.2">
      <c r="A9" t="str">
        <v>Emily Busy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0</v>
      </c>
      <c r="I9">
        <v>1</v>
      </c>
      <c r="J9">
        <v>1</v>
      </c>
      <c r="K9">
        <v>1</v>
      </c>
    </row>
    <row r="10" spans="1:11" x14ac:dyDescent="0.2">
      <c r="A10" t="str">
        <v>Samuel Ridges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</row>
    <row r="11" spans="1:11" x14ac:dyDescent="0.2">
      <c r="A11" t="str">
        <v>Laura Hills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</row>
    <row r="16" spans="1:11" x14ac:dyDescent="0.2">
      <c r="A16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449FF-0A07-4955-918E-6034A955E3D6}">
  <sheetPr codeName="Sheet4"/>
  <dimension ref="A1:D173"/>
  <sheetViews>
    <sheetView workbookViewId="0">
      <selection activeCell="A2" sqref="A2:D173"/>
    </sheetView>
  </sheetViews>
  <sheetFormatPr defaultRowHeight="12.75" x14ac:dyDescent="0.2"/>
  <cols>
    <col min="1" max="1" width="36" bestFit="1" customWidth="1"/>
    <col min="2" max="2" width="14.5703125" bestFit="1" customWidth="1"/>
  </cols>
  <sheetData>
    <row r="1" spans="1:4" x14ac:dyDescent="0.2">
      <c r="A1" s="1" t="s">
        <v>10</v>
      </c>
      <c r="B1" s="1" t="s">
        <v>3</v>
      </c>
      <c r="C1" s="1" t="s">
        <v>12</v>
      </c>
      <c r="D1" s="1" t="s">
        <v>11</v>
      </c>
    </row>
    <row r="2" spans="1:4" x14ac:dyDescent="0.2">
      <c r="A2" t="s">
        <v>62</v>
      </c>
      <c r="B2" t="s">
        <v>55</v>
      </c>
      <c r="C2">
        <v>2025</v>
      </c>
      <c r="D2">
        <v>10</v>
      </c>
    </row>
    <row r="3" spans="1:4" x14ac:dyDescent="0.2">
      <c r="A3" t="s">
        <v>62</v>
      </c>
      <c r="B3" t="s">
        <v>55</v>
      </c>
      <c r="C3">
        <v>2027</v>
      </c>
      <c r="D3">
        <v>11</v>
      </c>
    </row>
    <row r="4" spans="1:4" x14ac:dyDescent="0.2">
      <c r="A4" t="s">
        <v>62</v>
      </c>
      <c r="B4" t="s">
        <v>55</v>
      </c>
      <c r="C4">
        <v>2028</v>
      </c>
      <c r="D4">
        <v>11</v>
      </c>
    </row>
    <row r="5" spans="1:4" x14ac:dyDescent="0.2">
      <c r="A5" t="s">
        <v>62</v>
      </c>
      <c r="B5" t="s">
        <v>55</v>
      </c>
      <c r="C5">
        <v>2029</v>
      </c>
      <c r="D5">
        <v>1</v>
      </c>
    </row>
    <row r="6" spans="1:4" x14ac:dyDescent="0.2">
      <c r="A6" t="s">
        <v>62</v>
      </c>
      <c r="B6" t="s">
        <v>55</v>
      </c>
      <c r="C6">
        <v>2026</v>
      </c>
      <c r="D6">
        <v>11</v>
      </c>
    </row>
    <row r="7" spans="1:4" x14ac:dyDescent="0.2">
      <c r="A7" t="s">
        <v>62</v>
      </c>
      <c r="B7" t="s">
        <v>47</v>
      </c>
      <c r="C7">
        <v>2023</v>
      </c>
      <c r="D7">
        <v>9</v>
      </c>
    </row>
    <row r="8" spans="1:4" x14ac:dyDescent="0.2">
      <c r="A8" t="s">
        <v>62</v>
      </c>
      <c r="B8" t="s">
        <v>47</v>
      </c>
      <c r="C8">
        <v>2024</v>
      </c>
      <c r="D8">
        <v>11</v>
      </c>
    </row>
    <row r="9" spans="1:4" x14ac:dyDescent="0.2">
      <c r="A9" t="s">
        <v>62</v>
      </c>
      <c r="B9" t="s">
        <v>47</v>
      </c>
      <c r="C9">
        <v>2025</v>
      </c>
      <c r="D9">
        <v>1</v>
      </c>
    </row>
    <row r="10" spans="1:4" x14ac:dyDescent="0.2">
      <c r="A10" t="s">
        <v>62</v>
      </c>
      <c r="B10" t="s">
        <v>44</v>
      </c>
      <c r="C10">
        <v>2020</v>
      </c>
      <c r="D10">
        <v>8</v>
      </c>
    </row>
    <row r="11" spans="1:4" x14ac:dyDescent="0.2">
      <c r="A11" t="s">
        <v>62</v>
      </c>
      <c r="B11" t="s">
        <v>44</v>
      </c>
      <c r="C11">
        <v>2021</v>
      </c>
      <c r="D11">
        <v>11</v>
      </c>
    </row>
    <row r="12" spans="1:4" x14ac:dyDescent="0.2">
      <c r="A12" t="s">
        <v>62</v>
      </c>
      <c r="B12" t="s">
        <v>44</v>
      </c>
      <c r="C12">
        <v>2022</v>
      </c>
      <c r="D12">
        <v>11</v>
      </c>
    </row>
    <row r="13" spans="1:4" x14ac:dyDescent="0.2">
      <c r="A13" t="s">
        <v>62</v>
      </c>
      <c r="B13" t="s">
        <v>44</v>
      </c>
      <c r="C13">
        <v>2023</v>
      </c>
      <c r="D13">
        <v>2</v>
      </c>
    </row>
    <row r="14" spans="1:4" x14ac:dyDescent="0.2">
      <c r="A14" t="s">
        <v>48</v>
      </c>
      <c r="B14" t="s">
        <v>54</v>
      </c>
      <c r="C14">
        <v>2025</v>
      </c>
      <c r="D14">
        <v>3</v>
      </c>
    </row>
    <row r="15" spans="1:4" x14ac:dyDescent="0.2">
      <c r="A15" t="s">
        <v>48</v>
      </c>
      <c r="B15" t="s">
        <v>54</v>
      </c>
      <c r="C15">
        <v>2027</v>
      </c>
      <c r="D15">
        <v>6</v>
      </c>
    </row>
    <row r="16" spans="1:4" x14ac:dyDescent="0.2">
      <c r="A16" t="s">
        <v>48</v>
      </c>
      <c r="B16" t="s">
        <v>54</v>
      </c>
      <c r="C16">
        <v>2028</v>
      </c>
      <c r="D16">
        <v>6</v>
      </c>
    </row>
    <row r="17" spans="1:4" x14ac:dyDescent="0.2">
      <c r="A17" t="s">
        <v>48</v>
      </c>
      <c r="B17" t="s">
        <v>54</v>
      </c>
      <c r="C17">
        <v>2029</v>
      </c>
      <c r="D17">
        <v>0.5</v>
      </c>
    </row>
    <row r="18" spans="1:4" x14ac:dyDescent="0.2">
      <c r="A18" t="s">
        <v>48</v>
      </c>
      <c r="B18" t="s">
        <v>54</v>
      </c>
      <c r="C18">
        <v>2026</v>
      </c>
      <c r="D18">
        <v>5</v>
      </c>
    </row>
    <row r="19" spans="1:4" x14ac:dyDescent="0.2">
      <c r="A19" t="s">
        <v>48</v>
      </c>
      <c r="B19" t="s">
        <v>55</v>
      </c>
      <c r="C19">
        <v>2025</v>
      </c>
      <c r="D19">
        <v>3</v>
      </c>
    </row>
    <row r="20" spans="1:4" x14ac:dyDescent="0.2">
      <c r="A20" t="s">
        <v>48</v>
      </c>
      <c r="B20" t="s">
        <v>55</v>
      </c>
      <c r="C20">
        <v>2027</v>
      </c>
      <c r="D20">
        <v>6</v>
      </c>
    </row>
    <row r="21" spans="1:4" x14ac:dyDescent="0.2">
      <c r="A21" t="s">
        <v>48</v>
      </c>
      <c r="B21" t="s">
        <v>55</v>
      </c>
      <c r="C21">
        <v>2028</v>
      </c>
      <c r="D21">
        <v>6</v>
      </c>
    </row>
    <row r="22" spans="1:4" x14ac:dyDescent="0.2">
      <c r="A22" t="s">
        <v>48</v>
      </c>
      <c r="B22" t="s">
        <v>55</v>
      </c>
      <c r="C22">
        <v>2029</v>
      </c>
      <c r="D22">
        <v>0.5</v>
      </c>
    </row>
    <row r="23" spans="1:4" x14ac:dyDescent="0.2">
      <c r="A23" t="s">
        <v>48</v>
      </c>
      <c r="B23" t="s">
        <v>55</v>
      </c>
      <c r="C23">
        <v>2026</v>
      </c>
      <c r="D23">
        <v>4</v>
      </c>
    </row>
    <row r="24" spans="1:4" x14ac:dyDescent="0.2">
      <c r="A24" t="s">
        <v>48</v>
      </c>
      <c r="B24" t="s">
        <v>47</v>
      </c>
      <c r="C24">
        <v>2023</v>
      </c>
      <c r="D24">
        <v>7</v>
      </c>
    </row>
    <row r="25" spans="1:4" x14ac:dyDescent="0.2">
      <c r="A25" t="s">
        <v>48</v>
      </c>
      <c r="B25" t="s">
        <v>47</v>
      </c>
      <c r="C25">
        <v>2024</v>
      </c>
      <c r="D25">
        <v>9</v>
      </c>
    </row>
    <row r="26" spans="1:4" x14ac:dyDescent="0.2">
      <c r="A26" t="s">
        <v>48</v>
      </c>
      <c r="B26" t="s">
        <v>47</v>
      </c>
      <c r="C26">
        <v>2025</v>
      </c>
      <c r="D26">
        <v>3</v>
      </c>
    </row>
    <row r="27" spans="1:4" x14ac:dyDescent="0.2">
      <c r="A27" t="s">
        <v>48</v>
      </c>
      <c r="B27" t="s">
        <v>47</v>
      </c>
      <c r="C27">
        <v>2026</v>
      </c>
      <c r="D27">
        <v>4</v>
      </c>
    </row>
    <row r="28" spans="1:4" x14ac:dyDescent="0.2">
      <c r="A28" t="s">
        <v>48</v>
      </c>
      <c r="B28" t="s">
        <v>46</v>
      </c>
      <c r="C28">
        <v>2020</v>
      </c>
      <c r="D28">
        <v>3</v>
      </c>
    </row>
    <row r="29" spans="1:4" x14ac:dyDescent="0.2">
      <c r="A29" t="s">
        <v>48</v>
      </c>
      <c r="B29" t="s">
        <v>46</v>
      </c>
      <c r="C29">
        <v>2021</v>
      </c>
      <c r="D29">
        <v>3</v>
      </c>
    </row>
    <row r="30" spans="1:4" x14ac:dyDescent="0.2">
      <c r="A30" t="s">
        <v>48</v>
      </c>
      <c r="B30" t="s">
        <v>46</v>
      </c>
      <c r="C30">
        <v>2022</v>
      </c>
      <c r="D30">
        <v>1</v>
      </c>
    </row>
    <row r="31" spans="1:4" x14ac:dyDescent="0.2">
      <c r="A31" t="s">
        <v>48</v>
      </c>
      <c r="B31" t="s">
        <v>41</v>
      </c>
      <c r="C31">
        <v>2020</v>
      </c>
      <c r="D31">
        <v>4</v>
      </c>
    </row>
    <row r="32" spans="1:4" x14ac:dyDescent="0.2">
      <c r="A32" t="s">
        <v>48</v>
      </c>
      <c r="B32" t="s">
        <v>41</v>
      </c>
      <c r="C32">
        <v>2021</v>
      </c>
      <c r="D32">
        <v>2</v>
      </c>
    </row>
    <row r="33" spans="1:4" x14ac:dyDescent="0.2">
      <c r="A33" t="s">
        <v>48</v>
      </c>
      <c r="B33" t="s">
        <v>41</v>
      </c>
      <c r="C33">
        <v>2022</v>
      </c>
      <c r="D33">
        <v>4</v>
      </c>
    </row>
    <row r="34" spans="1:4" x14ac:dyDescent="0.2">
      <c r="A34" t="s">
        <v>48</v>
      </c>
      <c r="B34" t="s">
        <v>41</v>
      </c>
      <c r="C34">
        <v>2023</v>
      </c>
      <c r="D34">
        <v>3</v>
      </c>
    </row>
    <row r="35" spans="1:4" x14ac:dyDescent="0.2">
      <c r="A35" t="s">
        <v>48</v>
      </c>
      <c r="B35" t="s">
        <v>41</v>
      </c>
      <c r="C35">
        <v>2024</v>
      </c>
      <c r="D35">
        <v>0.5</v>
      </c>
    </row>
    <row r="36" spans="1:4" x14ac:dyDescent="0.2">
      <c r="A36" t="s">
        <v>48</v>
      </c>
      <c r="B36" t="s">
        <v>53</v>
      </c>
      <c r="C36">
        <v>2024</v>
      </c>
      <c r="D36">
        <v>1</v>
      </c>
    </row>
    <row r="37" spans="1:4" x14ac:dyDescent="0.2">
      <c r="A37" t="s">
        <v>48</v>
      </c>
      <c r="B37" t="s">
        <v>53</v>
      </c>
      <c r="C37">
        <v>2025</v>
      </c>
      <c r="D37">
        <v>3</v>
      </c>
    </row>
    <row r="38" spans="1:4" x14ac:dyDescent="0.2">
      <c r="A38" t="s">
        <v>48</v>
      </c>
      <c r="B38" t="s">
        <v>44</v>
      </c>
      <c r="C38">
        <v>2020</v>
      </c>
      <c r="D38">
        <v>3</v>
      </c>
    </row>
    <row r="39" spans="1:4" x14ac:dyDescent="0.2">
      <c r="A39" t="s">
        <v>48</v>
      </c>
      <c r="B39" t="s">
        <v>44</v>
      </c>
      <c r="C39">
        <v>2021</v>
      </c>
      <c r="D39">
        <v>5</v>
      </c>
    </row>
    <row r="40" spans="1:4" x14ac:dyDescent="0.2">
      <c r="A40" t="s">
        <v>48</v>
      </c>
      <c r="B40" t="s">
        <v>44</v>
      </c>
      <c r="C40">
        <v>2022</v>
      </c>
      <c r="D40">
        <v>5</v>
      </c>
    </row>
    <row r="41" spans="1:4" x14ac:dyDescent="0.2">
      <c r="A41" t="s">
        <v>42</v>
      </c>
      <c r="B41" t="s">
        <v>49</v>
      </c>
      <c r="C41">
        <v>2024</v>
      </c>
      <c r="D41">
        <v>6</v>
      </c>
    </row>
    <row r="42" spans="1:4" x14ac:dyDescent="0.2">
      <c r="A42" t="s">
        <v>42</v>
      </c>
      <c r="B42" t="s">
        <v>49</v>
      </c>
      <c r="C42">
        <v>2025</v>
      </c>
      <c r="D42">
        <v>5</v>
      </c>
    </row>
    <row r="43" spans="1:4" x14ac:dyDescent="0.2">
      <c r="A43" t="s">
        <v>42</v>
      </c>
      <c r="B43" t="s">
        <v>49</v>
      </c>
      <c r="C43">
        <v>2026</v>
      </c>
      <c r="D43">
        <v>5</v>
      </c>
    </row>
    <row r="44" spans="1:4" x14ac:dyDescent="0.2">
      <c r="A44" t="s">
        <v>42</v>
      </c>
      <c r="B44" t="s">
        <v>55</v>
      </c>
      <c r="C44">
        <v>2025</v>
      </c>
      <c r="D44">
        <v>1</v>
      </c>
    </row>
    <row r="45" spans="1:4" x14ac:dyDescent="0.2">
      <c r="A45" t="s">
        <v>42</v>
      </c>
      <c r="B45" t="s">
        <v>55</v>
      </c>
      <c r="C45">
        <v>2027</v>
      </c>
      <c r="D45">
        <v>4</v>
      </c>
    </row>
    <row r="46" spans="1:4" x14ac:dyDescent="0.2">
      <c r="A46" t="s">
        <v>42</v>
      </c>
      <c r="B46" t="s">
        <v>55</v>
      </c>
      <c r="C46">
        <v>2028</v>
      </c>
      <c r="D46">
        <v>10</v>
      </c>
    </row>
    <row r="47" spans="1:4" x14ac:dyDescent="0.2">
      <c r="A47" t="s">
        <v>42</v>
      </c>
      <c r="B47" t="s">
        <v>55</v>
      </c>
      <c r="C47">
        <v>2029</v>
      </c>
      <c r="D47">
        <v>0.5</v>
      </c>
    </row>
    <row r="48" spans="1:4" x14ac:dyDescent="0.2">
      <c r="A48" t="s">
        <v>42</v>
      </c>
      <c r="B48" t="s">
        <v>55</v>
      </c>
      <c r="C48">
        <v>2026</v>
      </c>
      <c r="D48">
        <v>1</v>
      </c>
    </row>
    <row r="49" spans="1:4" x14ac:dyDescent="0.2">
      <c r="A49" t="s">
        <v>42</v>
      </c>
      <c r="B49" t="s">
        <v>46</v>
      </c>
      <c r="C49">
        <v>2020</v>
      </c>
      <c r="D49">
        <v>3</v>
      </c>
    </row>
    <row r="50" spans="1:4" x14ac:dyDescent="0.2">
      <c r="A50" t="s">
        <v>42</v>
      </c>
      <c r="B50" t="s">
        <v>50</v>
      </c>
      <c r="C50">
        <v>2021</v>
      </c>
      <c r="D50">
        <v>5</v>
      </c>
    </row>
    <row r="51" spans="1:4" x14ac:dyDescent="0.2">
      <c r="A51" t="s">
        <v>42</v>
      </c>
      <c r="B51" t="s">
        <v>50</v>
      </c>
      <c r="C51">
        <v>2022</v>
      </c>
      <c r="D51">
        <v>5</v>
      </c>
    </row>
    <row r="52" spans="1:4" x14ac:dyDescent="0.2">
      <c r="A52" t="s">
        <v>42</v>
      </c>
      <c r="B52" t="s">
        <v>50</v>
      </c>
      <c r="C52">
        <v>2023</v>
      </c>
      <c r="D52">
        <v>5</v>
      </c>
    </row>
    <row r="53" spans="1:4" x14ac:dyDescent="0.2">
      <c r="A53" t="s">
        <v>42</v>
      </c>
      <c r="B53" t="s">
        <v>50</v>
      </c>
      <c r="C53">
        <v>2024</v>
      </c>
      <c r="D53">
        <v>1</v>
      </c>
    </row>
    <row r="54" spans="1:4" x14ac:dyDescent="0.2">
      <c r="A54" t="s">
        <v>42</v>
      </c>
      <c r="B54" t="s">
        <v>52</v>
      </c>
      <c r="C54">
        <v>2024</v>
      </c>
      <c r="D54">
        <v>3</v>
      </c>
    </row>
    <row r="55" spans="1:4" x14ac:dyDescent="0.2">
      <c r="A55" t="s">
        <v>42</v>
      </c>
      <c r="B55" t="s">
        <v>52</v>
      </c>
      <c r="C55">
        <v>2025</v>
      </c>
      <c r="D55">
        <v>5</v>
      </c>
    </row>
    <row r="56" spans="1:4" x14ac:dyDescent="0.2">
      <c r="A56" t="s">
        <v>42</v>
      </c>
      <c r="B56" t="s">
        <v>52</v>
      </c>
      <c r="C56">
        <v>2027</v>
      </c>
      <c r="D56">
        <v>6</v>
      </c>
    </row>
    <row r="57" spans="1:4" x14ac:dyDescent="0.2">
      <c r="A57" t="s">
        <v>42</v>
      </c>
      <c r="B57" t="s">
        <v>52</v>
      </c>
      <c r="C57">
        <v>2026</v>
      </c>
      <c r="D57">
        <v>5</v>
      </c>
    </row>
    <row r="58" spans="1:4" x14ac:dyDescent="0.2">
      <c r="A58" t="s">
        <v>42</v>
      </c>
      <c r="B58" t="s">
        <v>41</v>
      </c>
      <c r="C58">
        <v>2020</v>
      </c>
      <c r="D58">
        <v>7</v>
      </c>
    </row>
    <row r="59" spans="1:4" x14ac:dyDescent="0.2">
      <c r="A59" t="s">
        <v>42</v>
      </c>
      <c r="B59" t="s">
        <v>41</v>
      </c>
      <c r="C59">
        <v>2021</v>
      </c>
      <c r="D59">
        <v>6</v>
      </c>
    </row>
    <row r="60" spans="1:4" x14ac:dyDescent="0.2">
      <c r="A60" t="s">
        <v>42</v>
      </c>
      <c r="B60" t="s">
        <v>41</v>
      </c>
      <c r="C60">
        <v>2022</v>
      </c>
      <c r="D60">
        <v>6</v>
      </c>
    </row>
    <row r="61" spans="1:4" x14ac:dyDescent="0.2">
      <c r="A61" t="s">
        <v>42</v>
      </c>
      <c r="B61" t="s">
        <v>41</v>
      </c>
      <c r="C61">
        <v>2023</v>
      </c>
      <c r="D61">
        <v>6</v>
      </c>
    </row>
    <row r="62" spans="1:4" x14ac:dyDescent="0.2">
      <c r="A62" t="s">
        <v>42</v>
      </c>
      <c r="B62" t="s">
        <v>41</v>
      </c>
      <c r="C62">
        <v>2024</v>
      </c>
      <c r="D62">
        <v>1</v>
      </c>
    </row>
    <row r="63" spans="1:4" x14ac:dyDescent="0.2">
      <c r="A63" t="s">
        <v>42</v>
      </c>
      <c r="B63" t="s">
        <v>44</v>
      </c>
      <c r="C63">
        <v>2020</v>
      </c>
      <c r="D63">
        <v>1</v>
      </c>
    </row>
    <row r="64" spans="1:4" x14ac:dyDescent="0.2">
      <c r="A64" t="s">
        <v>66</v>
      </c>
      <c r="B64" t="s">
        <v>46</v>
      </c>
      <c r="C64">
        <v>2020</v>
      </c>
      <c r="D64">
        <v>3</v>
      </c>
    </row>
    <row r="65" spans="1:4" x14ac:dyDescent="0.2">
      <c r="A65" t="s">
        <v>66</v>
      </c>
      <c r="B65" t="s">
        <v>46</v>
      </c>
      <c r="C65">
        <v>2021</v>
      </c>
      <c r="D65">
        <v>5</v>
      </c>
    </row>
    <row r="66" spans="1:4" x14ac:dyDescent="0.2">
      <c r="A66" t="s">
        <v>66</v>
      </c>
      <c r="B66" t="s">
        <v>46</v>
      </c>
      <c r="C66">
        <v>2022</v>
      </c>
      <c r="D66">
        <v>1</v>
      </c>
    </row>
    <row r="67" spans="1:4" x14ac:dyDescent="0.2">
      <c r="A67" t="s">
        <v>66</v>
      </c>
      <c r="B67" t="s">
        <v>52</v>
      </c>
      <c r="C67">
        <v>2024</v>
      </c>
      <c r="D67">
        <v>3</v>
      </c>
    </row>
    <row r="68" spans="1:4" x14ac:dyDescent="0.2">
      <c r="A68" t="s">
        <v>66</v>
      </c>
      <c r="B68" t="s">
        <v>52</v>
      </c>
      <c r="C68">
        <v>2025</v>
      </c>
      <c r="D68">
        <v>5</v>
      </c>
    </row>
    <row r="69" spans="1:4" x14ac:dyDescent="0.2">
      <c r="A69" t="s">
        <v>66</v>
      </c>
      <c r="B69" t="s">
        <v>52</v>
      </c>
      <c r="C69">
        <v>2027</v>
      </c>
      <c r="D69">
        <v>3</v>
      </c>
    </row>
    <row r="70" spans="1:4" x14ac:dyDescent="0.2">
      <c r="A70" t="s">
        <v>66</v>
      </c>
      <c r="B70" t="s">
        <v>52</v>
      </c>
      <c r="C70">
        <v>2026</v>
      </c>
      <c r="D70">
        <v>5</v>
      </c>
    </row>
    <row r="71" spans="1:4" x14ac:dyDescent="0.2">
      <c r="A71" t="s">
        <v>66</v>
      </c>
      <c r="B71" t="s">
        <v>41</v>
      </c>
      <c r="C71">
        <v>2022</v>
      </c>
      <c r="D71">
        <v>4</v>
      </c>
    </row>
    <row r="72" spans="1:4" x14ac:dyDescent="0.2">
      <c r="A72" t="s">
        <v>66</v>
      </c>
      <c r="B72" t="s">
        <v>41</v>
      </c>
      <c r="C72">
        <v>2023</v>
      </c>
      <c r="D72">
        <v>5</v>
      </c>
    </row>
    <row r="73" spans="1:4" x14ac:dyDescent="0.2">
      <c r="A73" t="s">
        <v>66</v>
      </c>
      <c r="B73" t="s">
        <v>41</v>
      </c>
      <c r="C73">
        <v>2024</v>
      </c>
      <c r="D73">
        <v>1</v>
      </c>
    </row>
    <row r="74" spans="1:4" x14ac:dyDescent="0.2">
      <c r="A74" t="s">
        <v>70</v>
      </c>
      <c r="B74" t="s">
        <v>54</v>
      </c>
      <c r="C74">
        <v>2025</v>
      </c>
      <c r="D74">
        <v>4</v>
      </c>
    </row>
    <row r="75" spans="1:4" x14ac:dyDescent="0.2">
      <c r="A75" t="s">
        <v>70</v>
      </c>
      <c r="B75" t="s">
        <v>54</v>
      </c>
      <c r="C75">
        <v>2027</v>
      </c>
      <c r="D75">
        <v>5</v>
      </c>
    </row>
    <row r="76" spans="1:4" x14ac:dyDescent="0.2">
      <c r="A76" t="s">
        <v>70</v>
      </c>
      <c r="B76" t="s">
        <v>54</v>
      </c>
      <c r="C76">
        <v>2028</v>
      </c>
      <c r="D76">
        <v>5</v>
      </c>
    </row>
    <row r="77" spans="1:4" x14ac:dyDescent="0.2">
      <c r="A77" t="s">
        <v>70</v>
      </c>
      <c r="B77" t="s">
        <v>54</v>
      </c>
      <c r="C77">
        <v>2026</v>
      </c>
      <c r="D77">
        <v>5</v>
      </c>
    </row>
    <row r="78" spans="1:4" x14ac:dyDescent="0.2">
      <c r="A78" t="s">
        <v>70</v>
      </c>
      <c r="B78" t="s">
        <v>55</v>
      </c>
      <c r="C78">
        <v>2025</v>
      </c>
      <c r="D78">
        <v>4</v>
      </c>
    </row>
    <row r="79" spans="1:4" x14ac:dyDescent="0.2">
      <c r="A79" t="s">
        <v>70</v>
      </c>
      <c r="B79" t="s">
        <v>55</v>
      </c>
      <c r="C79">
        <v>2027</v>
      </c>
      <c r="D79">
        <v>5</v>
      </c>
    </row>
    <row r="80" spans="1:4" x14ac:dyDescent="0.2">
      <c r="A80" t="s">
        <v>70</v>
      </c>
      <c r="B80" t="s">
        <v>55</v>
      </c>
      <c r="C80">
        <v>2028</v>
      </c>
      <c r="D80">
        <v>5</v>
      </c>
    </row>
    <row r="81" spans="1:4" x14ac:dyDescent="0.2">
      <c r="A81" t="s">
        <v>70</v>
      </c>
      <c r="B81" t="s">
        <v>55</v>
      </c>
      <c r="C81">
        <v>2029</v>
      </c>
      <c r="D81">
        <v>1</v>
      </c>
    </row>
    <row r="82" spans="1:4" x14ac:dyDescent="0.2">
      <c r="A82" t="s">
        <v>70</v>
      </c>
      <c r="B82" t="s">
        <v>55</v>
      </c>
      <c r="C82">
        <v>2026</v>
      </c>
      <c r="D82">
        <v>5</v>
      </c>
    </row>
    <row r="83" spans="1:4" x14ac:dyDescent="0.2">
      <c r="A83" t="s">
        <v>65</v>
      </c>
      <c r="B83" t="s">
        <v>55</v>
      </c>
      <c r="C83">
        <v>2027</v>
      </c>
      <c r="D83">
        <v>8</v>
      </c>
    </row>
    <row r="84" spans="1:4" x14ac:dyDescent="0.2">
      <c r="A84" t="s">
        <v>65</v>
      </c>
      <c r="B84" t="s">
        <v>55</v>
      </c>
      <c r="C84">
        <v>2028</v>
      </c>
      <c r="D84">
        <v>8</v>
      </c>
    </row>
    <row r="85" spans="1:4" x14ac:dyDescent="0.2">
      <c r="A85" t="s">
        <v>65</v>
      </c>
      <c r="B85" t="s">
        <v>55</v>
      </c>
      <c r="C85">
        <v>2029</v>
      </c>
      <c r="D85">
        <v>0.5</v>
      </c>
    </row>
    <row r="86" spans="1:4" x14ac:dyDescent="0.2">
      <c r="A86" t="s">
        <v>65</v>
      </c>
      <c r="B86" t="s">
        <v>55</v>
      </c>
      <c r="C86">
        <v>2026</v>
      </c>
      <c r="D86">
        <v>3</v>
      </c>
    </row>
    <row r="87" spans="1:4" x14ac:dyDescent="0.2">
      <c r="A87" t="s">
        <v>65</v>
      </c>
      <c r="B87" t="s">
        <v>47</v>
      </c>
      <c r="C87">
        <v>2023</v>
      </c>
      <c r="D87">
        <v>4</v>
      </c>
    </row>
    <row r="88" spans="1:4" x14ac:dyDescent="0.2">
      <c r="A88" t="s">
        <v>65</v>
      </c>
      <c r="B88" t="s">
        <v>47</v>
      </c>
      <c r="C88">
        <v>2024</v>
      </c>
      <c r="D88">
        <v>8</v>
      </c>
    </row>
    <row r="89" spans="1:4" x14ac:dyDescent="0.2">
      <c r="A89" t="s">
        <v>65</v>
      </c>
      <c r="B89" t="s">
        <v>47</v>
      </c>
      <c r="C89">
        <v>2025</v>
      </c>
      <c r="D89">
        <v>8</v>
      </c>
    </row>
    <row r="90" spans="1:4" x14ac:dyDescent="0.2">
      <c r="A90" t="s">
        <v>65</v>
      </c>
      <c r="B90" t="s">
        <v>47</v>
      </c>
      <c r="C90">
        <v>2026</v>
      </c>
      <c r="D90">
        <v>5.5</v>
      </c>
    </row>
    <row r="91" spans="1:4" x14ac:dyDescent="0.2">
      <c r="A91" t="s">
        <v>65</v>
      </c>
      <c r="B91" t="s">
        <v>41</v>
      </c>
      <c r="C91">
        <v>2020</v>
      </c>
      <c r="D91">
        <v>6</v>
      </c>
    </row>
    <row r="92" spans="1:4" x14ac:dyDescent="0.2">
      <c r="A92" t="s">
        <v>65</v>
      </c>
      <c r="B92" t="s">
        <v>41</v>
      </c>
      <c r="C92">
        <v>2021</v>
      </c>
      <c r="D92">
        <v>8</v>
      </c>
    </row>
    <row r="93" spans="1:4" x14ac:dyDescent="0.2">
      <c r="A93" t="s">
        <v>65</v>
      </c>
      <c r="B93" t="s">
        <v>41</v>
      </c>
      <c r="C93">
        <v>2022</v>
      </c>
      <c r="D93">
        <v>8</v>
      </c>
    </row>
    <row r="94" spans="1:4" x14ac:dyDescent="0.2">
      <c r="A94" t="s">
        <v>65</v>
      </c>
      <c r="B94" t="s">
        <v>41</v>
      </c>
      <c r="C94">
        <v>2023</v>
      </c>
      <c r="D94">
        <v>4</v>
      </c>
    </row>
    <row r="95" spans="1:4" x14ac:dyDescent="0.2">
      <c r="A95" t="s">
        <v>65</v>
      </c>
      <c r="B95" t="s">
        <v>41</v>
      </c>
      <c r="C95">
        <v>2024</v>
      </c>
      <c r="D95">
        <v>0.5</v>
      </c>
    </row>
    <row r="96" spans="1:4" x14ac:dyDescent="0.2">
      <c r="A96" t="s">
        <v>45</v>
      </c>
      <c r="B96" t="s">
        <v>49</v>
      </c>
      <c r="C96">
        <v>2024</v>
      </c>
      <c r="D96">
        <v>1</v>
      </c>
    </row>
    <row r="97" spans="1:4" x14ac:dyDescent="0.2">
      <c r="A97" t="s">
        <v>45</v>
      </c>
      <c r="B97" t="s">
        <v>49</v>
      </c>
      <c r="C97">
        <v>2025</v>
      </c>
      <c r="D97">
        <v>1</v>
      </c>
    </row>
    <row r="98" spans="1:4" x14ac:dyDescent="0.2">
      <c r="A98" t="s">
        <v>45</v>
      </c>
      <c r="B98" t="s">
        <v>49</v>
      </c>
      <c r="C98">
        <v>2026</v>
      </c>
      <c r="D98">
        <v>2</v>
      </c>
    </row>
    <row r="99" spans="1:4" x14ac:dyDescent="0.2">
      <c r="A99" t="s">
        <v>45</v>
      </c>
      <c r="B99" t="s">
        <v>54</v>
      </c>
      <c r="C99">
        <v>2025</v>
      </c>
      <c r="D99">
        <v>8</v>
      </c>
    </row>
    <row r="100" spans="1:4" x14ac:dyDescent="0.2">
      <c r="A100" t="s">
        <v>45</v>
      </c>
      <c r="B100" t="s">
        <v>54</v>
      </c>
      <c r="C100">
        <v>2027</v>
      </c>
      <c r="D100">
        <v>8</v>
      </c>
    </row>
    <row r="101" spans="1:4" x14ac:dyDescent="0.2">
      <c r="A101" t="s">
        <v>45</v>
      </c>
      <c r="B101" t="s">
        <v>54</v>
      </c>
      <c r="C101">
        <v>2028</v>
      </c>
      <c r="D101">
        <v>8</v>
      </c>
    </row>
    <row r="102" spans="1:4" x14ac:dyDescent="0.2">
      <c r="A102" t="s">
        <v>45</v>
      </c>
      <c r="B102" t="s">
        <v>54</v>
      </c>
      <c r="C102">
        <v>2026</v>
      </c>
      <c r="D102">
        <v>8</v>
      </c>
    </row>
    <row r="103" spans="1:4" x14ac:dyDescent="0.2">
      <c r="A103" t="s">
        <v>45</v>
      </c>
      <c r="B103" t="s">
        <v>55</v>
      </c>
      <c r="C103">
        <v>2027</v>
      </c>
      <c r="D103">
        <v>3</v>
      </c>
    </row>
    <row r="104" spans="1:4" x14ac:dyDescent="0.2">
      <c r="A104" t="s">
        <v>45</v>
      </c>
      <c r="B104" t="s">
        <v>55</v>
      </c>
      <c r="C104">
        <v>2028</v>
      </c>
      <c r="D104">
        <v>3</v>
      </c>
    </row>
    <row r="105" spans="1:4" x14ac:dyDescent="0.2">
      <c r="A105" t="s">
        <v>45</v>
      </c>
      <c r="B105" t="s">
        <v>55</v>
      </c>
      <c r="C105">
        <v>2026</v>
      </c>
      <c r="D105">
        <v>1</v>
      </c>
    </row>
    <row r="106" spans="1:4" x14ac:dyDescent="0.2">
      <c r="A106" t="s">
        <v>45</v>
      </c>
      <c r="B106" t="s">
        <v>47</v>
      </c>
      <c r="C106">
        <v>2024</v>
      </c>
      <c r="D106">
        <v>1</v>
      </c>
    </row>
    <row r="107" spans="1:4" x14ac:dyDescent="0.2">
      <c r="A107" t="s">
        <v>45</v>
      </c>
      <c r="B107" t="s">
        <v>47</v>
      </c>
      <c r="C107">
        <v>2025</v>
      </c>
      <c r="D107">
        <v>1</v>
      </c>
    </row>
    <row r="108" spans="1:4" x14ac:dyDescent="0.2">
      <c r="A108" t="s">
        <v>45</v>
      </c>
      <c r="B108" t="s">
        <v>47</v>
      </c>
      <c r="C108">
        <v>2026</v>
      </c>
      <c r="D108">
        <v>2</v>
      </c>
    </row>
    <row r="109" spans="1:4" x14ac:dyDescent="0.2">
      <c r="A109" t="s">
        <v>45</v>
      </c>
      <c r="B109" t="s">
        <v>46</v>
      </c>
      <c r="C109">
        <v>2020</v>
      </c>
      <c r="D109">
        <v>4</v>
      </c>
    </row>
    <row r="110" spans="1:4" x14ac:dyDescent="0.2">
      <c r="A110" t="s">
        <v>45</v>
      </c>
      <c r="B110" t="s">
        <v>46</v>
      </c>
      <c r="C110">
        <v>2021</v>
      </c>
      <c r="D110">
        <v>4</v>
      </c>
    </row>
    <row r="111" spans="1:4" x14ac:dyDescent="0.2">
      <c r="A111" t="s">
        <v>45</v>
      </c>
      <c r="B111" t="s">
        <v>46</v>
      </c>
      <c r="C111">
        <v>2022</v>
      </c>
      <c r="D111">
        <v>3</v>
      </c>
    </row>
    <row r="112" spans="1:4" x14ac:dyDescent="0.2">
      <c r="A112" t="s">
        <v>45</v>
      </c>
      <c r="B112" t="s">
        <v>50</v>
      </c>
      <c r="C112">
        <v>2021</v>
      </c>
      <c r="D112">
        <v>4</v>
      </c>
    </row>
    <row r="113" spans="1:4" x14ac:dyDescent="0.2">
      <c r="A113" t="s">
        <v>45</v>
      </c>
      <c r="B113" t="s">
        <v>50</v>
      </c>
      <c r="C113">
        <v>2022</v>
      </c>
      <c r="D113">
        <v>4</v>
      </c>
    </row>
    <row r="114" spans="1:4" x14ac:dyDescent="0.2">
      <c r="A114" t="s">
        <v>45</v>
      </c>
      <c r="B114" t="s">
        <v>50</v>
      </c>
      <c r="C114">
        <v>2023</v>
      </c>
      <c r="D114">
        <v>6</v>
      </c>
    </row>
    <row r="115" spans="1:4" x14ac:dyDescent="0.2">
      <c r="A115" t="s">
        <v>45</v>
      </c>
      <c r="B115" t="s">
        <v>50</v>
      </c>
      <c r="C115">
        <v>2024</v>
      </c>
      <c r="D115">
        <v>6</v>
      </c>
    </row>
    <row r="116" spans="1:4" x14ac:dyDescent="0.2">
      <c r="A116" t="s">
        <v>45</v>
      </c>
      <c r="B116" t="s">
        <v>50</v>
      </c>
      <c r="C116">
        <v>2025</v>
      </c>
      <c r="D116">
        <v>1</v>
      </c>
    </row>
    <row r="117" spans="1:4" x14ac:dyDescent="0.2">
      <c r="A117" t="s">
        <v>45</v>
      </c>
      <c r="B117" t="s">
        <v>52</v>
      </c>
      <c r="C117">
        <v>2024</v>
      </c>
      <c r="D117">
        <v>3</v>
      </c>
    </row>
    <row r="118" spans="1:4" x14ac:dyDescent="0.2">
      <c r="A118" t="s">
        <v>45</v>
      </c>
      <c r="B118" t="s">
        <v>41</v>
      </c>
      <c r="C118">
        <v>2020</v>
      </c>
      <c r="D118">
        <v>3</v>
      </c>
    </row>
    <row r="119" spans="1:4" x14ac:dyDescent="0.2">
      <c r="A119" t="s">
        <v>45</v>
      </c>
      <c r="B119" t="s">
        <v>53</v>
      </c>
      <c r="C119">
        <v>2024</v>
      </c>
      <c r="D119">
        <v>1</v>
      </c>
    </row>
    <row r="120" spans="1:4" x14ac:dyDescent="0.2">
      <c r="A120" t="s">
        <v>45</v>
      </c>
      <c r="B120" t="s">
        <v>53</v>
      </c>
      <c r="C120">
        <v>2025</v>
      </c>
      <c r="D120">
        <v>1</v>
      </c>
    </row>
    <row r="121" spans="1:4" x14ac:dyDescent="0.2">
      <c r="A121" t="s">
        <v>45</v>
      </c>
      <c r="B121" t="s">
        <v>44</v>
      </c>
      <c r="C121">
        <v>2020</v>
      </c>
      <c r="D121">
        <v>4</v>
      </c>
    </row>
    <row r="122" spans="1:4" x14ac:dyDescent="0.2">
      <c r="A122" t="s">
        <v>45</v>
      </c>
      <c r="B122" t="s">
        <v>44</v>
      </c>
      <c r="C122">
        <v>2021</v>
      </c>
      <c r="D122">
        <v>3</v>
      </c>
    </row>
    <row r="123" spans="1:4" x14ac:dyDescent="0.2">
      <c r="A123" t="s">
        <v>45</v>
      </c>
      <c r="B123" t="s">
        <v>44</v>
      </c>
      <c r="C123">
        <v>2022</v>
      </c>
      <c r="D123">
        <v>4</v>
      </c>
    </row>
    <row r="124" spans="1:4" x14ac:dyDescent="0.2">
      <c r="A124" t="s">
        <v>45</v>
      </c>
      <c r="B124" t="s">
        <v>44</v>
      </c>
      <c r="C124">
        <v>2023</v>
      </c>
      <c r="D124">
        <v>5</v>
      </c>
    </row>
    <row r="125" spans="1:4" x14ac:dyDescent="0.2">
      <c r="A125" t="s">
        <v>67</v>
      </c>
      <c r="B125" t="s">
        <v>49</v>
      </c>
      <c r="C125">
        <v>2024</v>
      </c>
      <c r="D125">
        <v>5</v>
      </c>
    </row>
    <row r="126" spans="1:4" x14ac:dyDescent="0.2">
      <c r="A126" t="s">
        <v>67</v>
      </c>
      <c r="B126" t="s">
        <v>49</v>
      </c>
      <c r="C126">
        <v>2025</v>
      </c>
      <c r="D126">
        <v>5</v>
      </c>
    </row>
    <row r="127" spans="1:4" x14ac:dyDescent="0.2">
      <c r="A127" t="s">
        <v>67</v>
      </c>
      <c r="B127" t="s">
        <v>49</v>
      </c>
      <c r="C127">
        <v>2026</v>
      </c>
      <c r="D127">
        <v>5</v>
      </c>
    </row>
    <row r="128" spans="1:4" x14ac:dyDescent="0.2">
      <c r="A128" t="s">
        <v>67</v>
      </c>
      <c r="B128" t="s">
        <v>54</v>
      </c>
      <c r="C128">
        <v>2025</v>
      </c>
      <c r="D128">
        <v>2</v>
      </c>
    </row>
    <row r="129" spans="1:4" x14ac:dyDescent="0.2">
      <c r="A129" t="s">
        <v>67</v>
      </c>
      <c r="B129" t="s">
        <v>54</v>
      </c>
      <c r="C129">
        <v>2027</v>
      </c>
      <c r="D129">
        <v>10</v>
      </c>
    </row>
    <row r="130" spans="1:4" x14ac:dyDescent="0.2">
      <c r="A130" t="s">
        <v>67</v>
      </c>
      <c r="B130" t="s">
        <v>54</v>
      </c>
      <c r="C130">
        <v>2028</v>
      </c>
      <c r="D130">
        <v>10</v>
      </c>
    </row>
    <row r="131" spans="1:4" x14ac:dyDescent="0.2">
      <c r="A131" t="s">
        <v>67</v>
      </c>
      <c r="B131" t="s">
        <v>54</v>
      </c>
      <c r="C131">
        <v>2029</v>
      </c>
      <c r="D131">
        <v>1</v>
      </c>
    </row>
    <row r="132" spans="1:4" x14ac:dyDescent="0.2">
      <c r="A132" t="s">
        <v>67</v>
      </c>
      <c r="B132" t="s">
        <v>54</v>
      </c>
      <c r="C132">
        <v>2026</v>
      </c>
      <c r="D132">
        <v>5</v>
      </c>
    </row>
    <row r="133" spans="1:4" x14ac:dyDescent="0.2">
      <c r="A133" t="s">
        <v>67</v>
      </c>
      <c r="B133" t="s">
        <v>50</v>
      </c>
      <c r="C133">
        <v>2021</v>
      </c>
      <c r="D133">
        <v>2</v>
      </c>
    </row>
    <row r="134" spans="1:4" x14ac:dyDescent="0.2">
      <c r="A134" t="s">
        <v>67</v>
      </c>
      <c r="B134" t="s">
        <v>50</v>
      </c>
      <c r="C134">
        <v>2022</v>
      </c>
      <c r="D134">
        <v>2</v>
      </c>
    </row>
    <row r="135" spans="1:4" x14ac:dyDescent="0.2">
      <c r="A135" t="s">
        <v>67</v>
      </c>
      <c r="B135" t="s">
        <v>50</v>
      </c>
      <c r="C135">
        <v>2023</v>
      </c>
      <c r="D135">
        <v>6</v>
      </c>
    </row>
    <row r="136" spans="1:4" x14ac:dyDescent="0.2">
      <c r="A136" t="s">
        <v>67</v>
      </c>
      <c r="B136" t="s">
        <v>50</v>
      </c>
      <c r="C136">
        <v>2024</v>
      </c>
      <c r="D136">
        <v>6</v>
      </c>
    </row>
    <row r="137" spans="1:4" x14ac:dyDescent="0.2">
      <c r="A137" t="s">
        <v>67</v>
      </c>
      <c r="B137" t="s">
        <v>50</v>
      </c>
      <c r="C137">
        <v>2025</v>
      </c>
      <c r="D137">
        <v>3</v>
      </c>
    </row>
    <row r="138" spans="1:4" x14ac:dyDescent="0.2">
      <c r="A138" t="s">
        <v>67</v>
      </c>
      <c r="B138" t="s">
        <v>41</v>
      </c>
      <c r="C138">
        <v>2020</v>
      </c>
      <c r="D138">
        <v>3</v>
      </c>
    </row>
    <row r="139" spans="1:4" x14ac:dyDescent="0.2">
      <c r="A139" t="s">
        <v>67</v>
      </c>
      <c r="B139" t="s">
        <v>41</v>
      </c>
      <c r="C139">
        <v>2021</v>
      </c>
      <c r="D139">
        <v>4</v>
      </c>
    </row>
    <row r="140" spans="1:4" x14ac:dyDescent="0.2">
      <c r="A140" t="s">
        <v>67</v>
      </c>
      <c r="B140" t="s">
        <v>41</v>
      </c>
      <c r="C140">
        <v>2022</v>
      </c>
      <c r="D140">
        <v>4</v>
      </c>
    </row>
    <row r="141" spans="1:4" x14ac:dyDescent="0.2">
      <c r="A141" t="s">
        <v>67</v>
      </c>
      <c r="B141" t="s">
        <v>41</v>
      </c>
      <c r="C141">
        <v>2023</v>
      </c>
      <c r="D141">
        <v>4</v>
      </c>
    </row>
    <row r="142" spans="1:4" x14ac:dyDescent="0.2">
      <c r="A142" t="s">
        <v>67</v>
      </c>
      <c r="B142" t="s">
        <v>44</v>
      </c>
      <c r="C142">
        <v>2020</v>
      </c>
      <c r="D142">
        <v>3</v>
      </c>
    </row>
    <row r="143" spans="1:4" x14ac:dyDescent="0.2">
      <c r="A143" t="s">
        <v>67</v>
      </c>
      <c r="B143" t="s">
        <v>44</v>
      </c>
      <c r="C143">
        <v>2021</v>
      </c>
      <c r="D143">
        <v>5</v>
      </c>
    </row>
    <row r="144" spans="1:4" x14ac:dyDescent="0.2">
      <c r="A144" t="s">
        <v>67</v>
      </c>
      <c r="B144" t="s">
        <v>44</v>
      </c>
      <c r="C144">
        <v>2022</v>
      </c>
      <c r="D144">
        <v>5</v>
      </c>
    </row>
    <row r="145" spans="1:4" x14ac:dyDescent="0.2">
      <c r="A145" t="s">
        <v>67</v>
      </c>
      <c r="B145" t="s">
        <v>44</v>
      </c>
      <c r="C145">
        <v>2023</v>
      </c>
      <c r="D145">
        <v>1</v>
      </c>
    </row>
    <row r="146" spans="1:4" x14ac:dyDescent="0.2">
      <c r="A146" t="s">
        <v>69</v>
      </c>
      <c r="B146" t="s">
        <v>47</v>
      </c>
      <c r="C146">
        <v>2023</v>
      </c>
      <c r="D146">
        <v>3</v>
      </c>
    </row>
    <row r="147" spans="1:4" x14ac:dyDescent="0.2">
      <c r="A147" t="s">
        <v>69</v>
      </c>
      <c r="B147" t="s">
        <v>41</v>
      </c>
      <c r="C147">
        <v>2020</v>
      </c>
      <c r="D147">
        <v>3</v>
      </c>
    </row>
    <row r="148" spans="1:4" x14ac:dyDescent="0.2">
      <c r="A148" t="s">
        <v>69</v>
      </c>
      <c r="B148" t="s">
        <v>41</v>
      </c>
      <c r="C148">
        <v>2021</v>
      </c>
      <c r="D148">
        <v>5</v>
      </c>
    </row>
    <row r="149" spans="1:4" x14ac:dyDescent="0.2">
      <c r="A149" t="s">
        <v>69</v>
      </c>
      <c r="B149" t="s">
        <v>41</v>
      </c>
      <c r="C149">
        <v>2022</v>
      </c>
      <c r="D149">
        <v>5</v>
      </c>
    </row>
    <row r="150" spans="1:4" x14ac:dyDescent="0.2">
      <c r="A150" t="s">
        <v>69</v>
      </c>
      <c r="B150" t="s">
        <v>41</v>
      </c>
      <c r="C150">
        <v>2023</v>
      </c>
      <c r="D150">
        <v>5</v>
      </c>
    </row>
    <row r="151" spans="1:4" x14ac:dyDescent="0.2">
      <c r="A151" t="s">
        <v>69</v>
      </c>
      <c r="B151" t="s">
        <v>41</v>
      </c>
      <c r="C151">
        <v>2024</v>
      </c>
      <c r="D151">
        <v>1</v>
      </c>
    </row>
    <row r="152" spans="1:4" x14ac:dyDescent="0.2">
      <c r="A152" t="s">
        <v>69</v>
      </c>
      <c r="B152" t="s">
        <v>44</v>
      </c>
      <c r="C152">
        <v>2020</v>
      </c>
      <c r="D152">
        <v>4</v>
      </c>
    </row>
    <row r="153" spans="1:4" x14ac:dyDescent="0.2">
      <c r="A153" t="s">
        <v>69</v>
      </c>
      <c r="B153" t="s">
        <v>44</v>
      </c>
      <c r="C153">
        <v>2021</v>
      </c>
      <c r="D153">
        <v>6</v>
      </c>
    </row>
    <row r="154" spans="1:4" x14ac:dyDescent="0.2">
      <c r="A154" t="s">
        <v>69</v>
      </c>
      <c r="B154" t="s">
        <v>44</v>
      </c>
      <c r="C154">
        <v>2022</v>
      </c>
      <c r="D154">
        <v>6</v>
      </c>
    </row>
    <row r="155" spans="1:4" x14ac:dyDescent="0.2">
      <c r="A155" t="s">
        <v>69</v>
      </c>
      <c r="B155" t="s">
        <v>44</v>
      </c>
      <c r="C155">
        <v>2023</v>
      </c>
      <c r="D155">
        <v>3</v>
      </c>
    </row>
    <row r="156" spans="1:4" x14ac:dyDescent="0.2">
      <c r="A156" t="s">
        <v>60</v>
      </c>
      <c r="B156" t="s">
        <v>49</v>
      </c>
      <c r="C156">
        <v>2024</v>
      </c>
      <c r="D156">
        <v>10.5</v>
      </c>
    </row>
    <row r="157" spans="1:4" x14ac:dyDescent="0.2">
      <c r="A157" t="s">
        <v>60</v>
      </c>
      <c r="B157" t="s">
        <v>49</v>
      </c>
      <c r="C157">
        <v>2025</v>
      </c>
      <c r="D157">
        <v>11</v>
      </c>
    </row>
    <row r="158" spans="1:4" x14ac:dyDescent="0.2">
      <c r="A158" t="s">
        <v>60</v>
      </c>
      <c r="B158" t="s">
        <v>49</v>
      </c>
      <c r="C158">
        <v>2026</v>
      </c>
      <c r="D158">
        <v>6</v>
      </c>
    </row>
    <row r="159" spans="1:4" x14ac:dyDescent="0.2">
      <c r="A159" t="s">
        <v>60</v>
      </c>
      <c r="B159" t="s">
        <v>54</v>
      </c>
      <c r="C159">
        <v>2026</v>
      </c>
      <c r="D159">
        <v>5</v>
      </c>
    </row>
    <row r="160" spans="1:4" x14ac:dyDescent="0.2">
      <c r="A160" t="s">
        <v>60</v>
      </c>
      <c r="B160" t="s">
        <v>54</v>
      </c>
      <c r="C160">
        <v>2027</v>
      </c>
      <c r="D160">
        <v>11</v>
      </c>
    </row>
    <row r="161" spans="1:4" x14ac:dyDescent="0.2">
      <c r="A161" t="s">
        <v>60</v>
      </c>
      <c r="B161" t="s">
        <v>54</v>
      </c>
      <c r="C161">
        <v>2028</v>
      </c>
      <c r="D161">
        <v>11</v>
      </c>
    </row>
    <row r="162" spans="1:4" x14ac:dyDescent="0.2">
      <c r="A162" t="s">
        <v>60</v>
      </c>
      <c r="B162" t="s">
        <v>54</v>
      </c>
      <c r="C162">
        <v>2029</v>
      </c>
      <c r="D162">
        <v>1</v>
      </c>
    </row>
    <row r="163" spans="1:4" x14ac:dyDescent="0.2">
      <c r="A163" t="s">
        <v>60</v>
      </c>
      <c r="B163" t="s">
        <v>46</v>
      </c>
      <c r="C163">
        <v>2020</v>
      </c>
      <c r="D163">
        <v>2</v>
      </c>
    </row>
    <row r="164" spans="1:4" x14ac:dyDescent="0.2">
      <c r="A164" t="s">
        <v>60</v>
      </c>
      <c r="B164" t="s">
        <v>46</v>
      </c>
      <c r="C164">
        <v>2021</v>
      </c>
      <c r="D164">
        <v>3</v>
      </c>
    </row>
    <row r="165" spans="1:4" x14ac:dyDescent="0.2">
      <c r="A165" t="s">
        <v>60</v>
      </c>
      <c r="B165" t="s">
        <v>41</v>
      </c>
      <c r="C165">
        <v>2020</v>
      </c>
      <c r="D165">
        <v>6</v>
      </c>
    </row>
    <row r="166" spans="1:4" x14ac:dyDescent="0.2">
      <c r="A166" t="s">
        <v>60</v>
      </c>
      <c r="B166" t="s">
        <v>41</v>
      </c>
      <c r="C166">
        <v>2021</v>
      </c>
      <c r="D166">
        <v>5</v>
      </c>
    </row>
    <row r="167" spans="1:4" x14ac:dyDescent="0.2">
      <c r="A167" t="s">
        <v>60</v>
      </c>
      <c r="B167" t="s">
        <v>41</v>
      </c>
      <c r="C167">
        <v>2022</v>
      </c>
      <c r="D167">
        <v>8</v>
      </c>
    </row>
    <row r="168" spans="1:4" x14ac:dyDescent="0.2">
      <c r="A168" t="s">
        <v>60</v>
      </c>
      <c r="B168" t="s">
        <v>41</v>
      </c>
      <c r="C168">
        <v>2023</v>
      </c>
      <c r="D168">
        <v>9</v>
      </c>
    </row>
    <row r="169" spans="1:4" x14ac:dyDescent="0.2">
      <c r="A169" t="s">
        <v>60</v>
      </c>
      <c r="B169" t="s">
        <v>41</v>
      </c>
      <c r="C169">
        <v>2024</v>
      </c>
      <c r="D169">
        <v>0.5</v>
      </c>
    </row>
    <row r="170" spans="1:4" x14ac:dyDescent="0.2">
      <c r="A170" t="s">
        <v>60</v>
      </c>
      <c r="B170" t="s">
        <v>44</v>
      </c>
      <c r="C170">
        <v>2020</v>
      </c>
      <c r="D170">
        <v>2</v>
      </c>
    </row>
    <row r="171" spans="1:4" x14ac:dyDescent="0.2">
      <c r="A171" t="s">
        <v>60</v>
      </c>
      <c r="B171" t="s">
        <v>44</v>
      </c>
      <c r="C171">
        <v>2021</v>
      </c>
      <c r="D171">
        <v>2</v>
      </c>
    </row>
    <row r="172" spans="1:4" x14ac:dyDescent="0.2">
      <c r="A172" t="s">
        <v>60</v>
      </c>
      <c r="B172" t="s">
        <v>44</v>
      </c>
      <c r="C172">
        <v>2022</v>
      </c>
      <c r="D172">
        <v>2</v>
      </c>
    </row>
    <row r="173" spans="1:4" x14ac:dyDescent="0.2">
      <c r="A173" t="s">
        <v>60</v>
      </c>
      <c r="B173" t="s">
        <v>44</v>
      </c>
      <c r="C173">
        <v>2023</v>
      </c>
      <c r="D173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094EB-6D0E-4B6A-9080-C7E553F2A51F}">
  <sheetPr codeName="Sheet3"/>
  <dimension ref="A1:H11"/>
  <sheetViews>
    <sheetView workbookViewId="0">
      <pane ySplit="1" topLeftCell="A2" activePane="bottomLeft" state="frozen"/>
      <selection pane="bottomLeft" activeCell="F8" sqref="F8"/>
    </sheetView>
  </sheetViews>
  <sheetFormatPr defaultRowHeight="12.75" x14ac:dyDescent="0.2"/>
  <cols>
    <col min="1" max="1" width="23.7109375" bestFit="1" customWidth="1"/>
    <col min="5" max="5" width="14" bestFit="1" customWidth="1"/>
    <col min="6" max="6" width="41.5703125" bestFit="1" customWidth="1"/>
    <col min="7" max="7" width="9.140625" style="6"/>
  </cols>
  <sheetData>
    <row r="1" spans="1:8" x14ac:dyDescent="0.2">
      <c r="A1" s="1" t="s">
        <v>10</v>
      </c>
      <c r="B1" s="1" t="s">
        <v>0</v>
      </c>
      <c r="C1" s="1" t="s">
        <v>2</v>
      </c>
      <c r="D1" s="1" t="s">
        <v>1</v>
      </c>
      <c r="E1" s="1" t="s">
        <v>25</v>
      </c>
      <c r="F1" s="1" t="s">
        <v>8</v>
      </c>
      <c r="H1" s="6" t="s">
        <v>40</v>
      </c>
    </row>
    <row r="2" spans="1:8" x14ac:dyDescent="0.2">
      <c r="A2" t="s">
        <v>42</v>
      </c>
      <c r="B2" t="s">
        <v>56</v>
      </c>
      <c r="C2" t="s">
        <v>57</v>
      </c>
      <c r="D2" t="s">
        <v>58</v>
      </c>
      <c r="E2" t="s">
        <v>59</v>
      </c>
      <c r="G2" s="10"/>
    </row>
    <row r="3" spans="1:8" x14ac:dyDescent="0.2">
      <c r="A3" t="s">
        <v>60</v>
      </c>
      <c r="B3" t="s">
        <v>56</v>
      </c>
      <c r="C3" t="s">
        <v>61</v>
      </c>
      <c r="D3" t="s">
        <v>58</v>
      </c>
      <c r="E3" t="s">
        <v>59</v>
      </c>
    </row>
    <row r="4" spans="1:8" x14ac:dyDescent="0.2">
      <c r="A4" t="s">
        <v>62</v>
      </c>
      <c r="B4" t="s">
        <v>56</v>
      </c>
      <c r="C4" t="s">
        <v>63</v>
      </c>
      <c r="D4" t="s">
        <v>58</v>
      </c>
      <c r="E4" t="s">
        <v>59</v>
      </c>
      <c r="F4" t="s">
        <v>64</v>
      </c>
    </row>
    <row r="5" spans="1:8" x14ac:dyDescent="0.2">
      <c r="A5" t="s">
        <v>65</v>
      </c>
      <c r="B5" t="s">
        <v>56</v>
      </c>
      <c r="C5" t="s">
        <v>61</v>
      </c>
      <c r="D5" t="s">
        <v>58</v>
      </c>
      <c r="E5" t="s">
        <v>59</v>
      </c>
    </row>
    <row r="6" spans="1:8" x14ac:dyDescent="0.2">
      <c r="A6" s="1" t="s">
        <v>45</v>
      </c>
      <c r="B6" t="s">
        <v>56</v>
      </c>
      <c r="C6" t="s">
        <v>61</v>
      </c>
      <c r="D6" t="s">
        <v>58</v>
      </c>
      <c r="E6" t="s">
        <v>59</v>
      </c>
    </row>
    <row r="7" spans="1:8" x14ac:dyDescent="0.2">
      <c r="A7" t="s">
        <v>66</v>
      </c>
      <c r="B7" t="s">
        <v>56</v>
      </c>
      <c r="C7" t="s">
        <v>68</v>
      </c>
      <c r="D7" t="s">
        <v>58</v>
      </c>
      <c r="E7" t="s">
        <v>59</v>
      </c>
    </row>
    <row r="8" spans="1:8" x14ac:dyDescent="0.2">
      <c r="A8" t="s">
        <v>67</v>
      </c>
      <c r="B8" t="s">
        <v>56</v>
      </c>
      <c r="C8" t="s">
        <v>68</v>
      </c>
      <c r="D8" t="s">
        <v>58</v>
      </c>
      <c r="E8" t="s">
        <v>59</v>
      </c>
    </row>
    <row r="9" spans="1:8" x14ac:dyDescent="0.2">
      <c r="A9" t="s">
        <v>48</v>
      </c>
      <c r="B9" t="s">
        <v>56</v>
      </c>
      <c r="C9" t="s">
        <v>68</v>
      </c>
      <c r="D9" t="s">
        <v>58</v>
      </c>
      <c r="E9" t="s">
        <v>59</v>
      </c>
    </row>
    <row r="10" spans="1:8" x14ac:dyDescent="0.2">
      <c r="A10" t="s">
        <v>69</v>
      </c>
      <c r="B10" t="s">
        <v>56</v>
      </c>
      <c r="C10" t="s">
        <v>57</v>
      </c>
      <c r="D10" t="s">
        <v>58</v>
      </c>
      <c r="E10" t="s">
        <v>59</v>
      </c>
    </row>
    <row r="11" spans="1:8" x14ac:dyDescent="0.2">
      <c r="A11" t="s">
        <v>70</v>
      </c>
      <c r="B11" t="s">
        <v>56</v>
      </c>
      <c r="C11" t="s">
        <v>57</v>
      </c>
      <c r="D11" t="s">
        <v>58</v>
      </c>
      <c r="E11" t="s">
        <v>59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DDA6B-3B6B-4D66-87A9-25D26A55EFD9}">
  <sheetPr codeName="Sheet10"/>
  <dimension ref="A1:S14"/>
  <sheetViews>
    <sheetView workbookViewId="0">
      <pane ySplit="1" topLeftCell="A2" activePane="bottomLeft" state="frozen"/>
      <selection pane="bottomLeft" activeCell="C10" sqref="C10"/>
    </sheetView>
  </sheetViews>
  <sheetFormatPr defaultRowHeight="12.75" x14ac:dyDescent="0.2"/>
  <cols>
    <col min="1" max="1" width="14" customWidth="1"/>
    <col min="2" max="2" width="14.85546875" customWidth="1"/>
    <col min="3" max="3" width="20" bestFit="1" customWidth="1"/>
    <col min="4" max="4" width="10.42578125" customWidth="1"/>
  </cols>
  <sheetData>
    <row r="1" spans="1:19" x14ac:dyDescent="0.2">
      <c r="A1" s="1" t="s">
        <v>10</v>
      </c>
      <c r="B1" s="1" t="s">
        <v>9</v>
      </c>
      <c r="C1" s="1" t="s">
        <v>26</v>
      </c>
      <c r="D1" s="6"/>
      <c r="E1" s="6" t="s">
        <v>39</v>
      </c>
    </row>
    <row r="2" spans="1:19" x14ac:dyDescent="0.2">
      <c r="A2" s="1" t="s">
        <v>42</v>
      </c>
      <c r="B2" s="9">
        <v>1</v>
      </c>
      <c r="C2" s="7">
        <v>38473</v>
      </c>
      <c r="N2" s="7"/>
    </row>
    <row r="3" spans="1:19" x14ac:dyDescent="0.2">
      <c r="A3" s="1" t="s">
        <v>60</v>
      </c>
      <c r="B3" s="23">
        <v>1</v>
      </c>
      <c r="C3" s="7">
        <v>38473</v>
      </c>
    </row>
    <row r="4" spans="1:19" x14ac:dyDescent="0.2">
      <c r="A4" s="1" t="s">
        <v>62</v>
      </c>
      <c r="B4" s="23">
        <v>1</v>
      </c>
      <c r="C4" s="7">
        <v>39083</v>
      </c>
      <c r="M4" s="1"/>
    </row>
    <row r="5" spans="1:19" x14ac:dyDescent="0.2">
      <c r="A5" s="1" t="s">
        <v>65</v>
      </c>
      <c r="B5" s="23">
        <v>0.8</v>
      </c>
      <c r="C5" s="7">
        <v>39083</v>
      </c>
    </row>
    <row r="6" spans="1:19" x14ac:dyDescent="0.2">
      <c r="A6" s="1" t="s">
        <v>45</v>
      </c>
      <c r="B6" s="23">
        <v>1</v>
      </c>
      <c r="C6" s="7">
        <v>39356</v>
      </c>
      <c r="S6" s="7"/>
    </row>
    <row r="7" spans="1:19" x14ac:dyDescent="0.2">
      <c r="A7" s="1" t="s">
        <v>66</v>
      </c>
      <c r="B7" s="23">
        <v>0.5</v>
      </c>
      <c r="C7" s="7">
        <v>40179</v>
      </c>
      <c r="S7" s="7"/>
    </row>
    <row r="8" spans="1:19" x14ac:dyDescent="0.2">
      <c r="A8" s="1" t="s">
        <v>67</v>
      </c>
      <c r="B8" s="23">
        <v>1</v>
      </c>
      <c r="C8" s="7">
        <v>42186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7"/>
    </row>
    <row r="9" spans="1:19" x14ac:dyDescent="0.2">
      <c r="A9" s="1" t="s">
        <v>67</v>
      </c>
      <c r="B9" s="23">
        <v>0.5</v>
      </c>
      <c r="C9" s="7">
        <v>43739</v>
      </c>
      <c r="S9" s="7"/>
    </row>
    <row r="10" spans="1:19" x14ac:dyDescent="0.2">
      <c r="A10" s="1" t="s">
        <v>67</v>
      </c>
      <c r="B10" s="23">
        <v>1</v>
      </c>
      <c r="C10" s="7">
        <v>44013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</row>
    <row r="11" spans="1:19" x14ac:dyDescent="0.2">
      <c r="A11" s="1" t="s">
        <v>48</v>
      </c>
      <c r="B11" s="23">
        <v>1</v>
      </c>
      <c r="C11" s="7">
        <v>42401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</row>
    <row r="12" spans="1:19" x14ac:dyDescent="0.2">
      <c r="A12" s="1" t="s">
        <v>69</v>
      </c>
      <c r="B12" s="23">
        <v>1</v>
      </c>
      <c r="C12" s="7">
        <v>43556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</row>
    <row r="13" spans="1:19" x14ac:dyDescent="0.2">
      <c r="A13" s="1" t="s">
        <v>69</v>
      </c>
      <c r="B13" s="23">
        <v>0</v>
      </c>
      <c r="C13" s="7">
        <v>45323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19" x14ac:dyDescent="0.2">
      <c r="A14" s="1" t="s">
        <v>70</v>
      </c>
      <c r="B14" s="23">
        <v>1</v>
      </c>
      <c r="C14" s="7">
        <v>45717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3D41-A2D3-48A7-972E-C50767C1A70E}">
  <sheetPr codeName="Sheet13"/>
  <dimension ref="A1:U16"/>
  <sheetViews>
    <sheetView workbookViewId="0">
      <selection activeCell="G10" sqref="G10"/>
    </sheetView>
  </sheetViews>
  <sheetFormatPr defaultRowHeight="12.75" x14ac:dyDescent="0.2"/>
  <cols>
    <col min="1" max="1" width="23.7109375" bestFit="1" customWidth="1"/>
    <col min="2" max="6" width="9.140625" style="33"/>
  </cols>
  <sheetData>
    <row r="1" spans="1:21" x14ac:dyDescent="0.2">
      <c r="A1" s="1"/>
      <c r="B1" s="33" cm="1">
        <f t="array" ref="B1:U1">_xlfn.SEQUENCE(1,20,MIN(Database[Year]),1)</f>
        <v>2020</v>
      </c>
      <c r="C1" s="33">
        <v>2021</v>
      </c>
      <c r="D1" s="33">
        <v>2022</v>
      </c>
      <c r="E1" s="33">
        <v>2023</v>
      </c>
      <c r="F1" s="33">
        <v>2024</v>
      </c>
      <c r="G1">
        <v>2025</v>
      </c>
      <c r="H1">
        <v>2026</v>
      </c>
      <c r="I1">
        <v>2027</v>
      </c>
      <c r="J1">
        <v>2028</v>
      </c>
      <c r="K1">
        <v>2029</v>
      </c>
      <c r="L1">
        <v>2030</v>
      </c>
      <c r="M1">
        <v>2031</v>
      </c>
      <c r="N1">
        <v>2032</v>
      </c>
      <c r="O1">
        <v>2033</v>
      </c>
      <c r="P1">
        <v>2034</v>
      </c>
      <c r="Q1">
        <v>2035</v>
      </c>
      <c r="R1">
        <v>2036</v>
      </c>
      <c r="S1">
        <v>2037</v>
      </c>
      <c r="T1">
        <v>2038</v>
      </c>
      <c r="U1">
        <v>2039</v>
      </c>
    </row>
    <row r="2" spans="1:21" x14ac:dyDescent="0.2">
      <c r="A2" t="str" cm="1">
        <f t="array" ref="A2:A11">PersonnelList[Name]</f>
        <v>John Doe</v>
      </c>
      <c r="B2" s="33" cm="1">
        <f t="array" ref="B2:U11">_xlfn.LET(
  _xlpm.personYearCalc, _xlfn.LAMBDA(_xlpm.Person,_xlpm.Year,
    _xlfn.LET(
      _xlpm.person_array, _xlfn._xlws.FILTER(WorkRegime[], WorkRegime[Name] = _xlpm.Person),
      _xlpm.sorted_array, _xlfn._xlws.SORT(_xlpm.person_array, 3),
      _xlpm.sorted_array_filtered, _xlfn._xlws.FILTER(_xlpm.sorted_array, YEAR(_xlfn.CHOOSECOLS(_xlpm.sorted_array, 3)) &lt; _xlpm.Year),
      _xlpm.years_array, YEAR(_xlfn.CHOOSECOLS(_xlpm.sorted_array, 3)),
      _xlpm.position, IFERROR(MATCH(_xlpm.Year, _xlpm.years_array, 0), IF(_xlpm.Year &gt; MAX(_xlpm.years_array), "future", IF(_xlpm.Year &lt; MIN(_xlpm.years_array), "past","middle"))),
      _xlpm.start_value, _xlfn.IFS(
        _xlpm.position = "future", INDEX(_xlpm.sorted_array, ROWS(_xlpm.sorted_array), 2),
        _xlpm.position = "past", 0,
        _xlpm.position = "middle", INDEX(_xlpm.sorted_array_filtered, ROWS(_xlpm.sorted_array_filtered),2),
        _xlpm.position = 1, 0,
        TRUE, INDEX(_xlpm.sorted_array, _xlpm.position - 1, 2)
      ),
      _xlpm.year_entries, _xlfn._xlws.FILTER(_xlpm.sorted_array, YEAR(_xlfn.CHOOSECOLS(_xlpm.sorted_array, 3)) = _xlpm.Year),
      _xlpm.date_array, IFERROR(_xlfn.CHOOSECOLS(_xlpm.year_entries, 3), DATE(_xlpm.Year, 12, 31)),
      _xlpm.monthly_multiplier, ROUND((_xlfn.VSTACK(_xlpm.date_array, DATE(_xlpm.Year, 12, 31)) - _xlfn.VSTACK(DATE(_xlpm.Year, 1, 1), _xlpm.date_array) + 1) * 12 / 365, 1),
      _xlpm.regime_array, IFERROR(_xlfn.CHOOSECOLS(_xlpm.year_entries, 2), 0),
      _xlpm.value_mult, _xlfn.VSTACK(_xlpm.start_value, _xlpm.regime_array),
      IFERROR(SUMPRODUCT(_xlpm.monthly_multiplier * _xlpm.value_mult), _xlpm.start_value * 12)
    )
  ),
  _xlpm.maxPM, _xlfn.MAKEARRAY(COUNTA(_xlfn.ANCHORARRAY(A2)), COUNTA(_xlfn.ANCHORARRAY(B1)), _xlfn.LAMBDA(_xlpm.row,_xlpm.col, _xlpm.personYearCalc(INDEX(_xlfn.ANCHORARRAY(A2), _xlpm.row), INDEX(_xlfn.ANCHORARRAY(B1), _xlpm.col)))),
  _xlpm.totPM, SUMIFS(Database[PMs],Database[Year],_xlfn.ANCHORARRAY(B1),Database[Name],_xlfn.ANCHORARRAY(A2)),
  _xlpm.maxPM-_xlpm.totPM
)</f>
        <v>1</v>
      </c>
      <c r="C2" s="33">
        <v>1</v>
      </c>
      <c r="D2" s="33">
        <v>1</v>
      </c>
      <c r="E2" s="33">
        <v>1</v>
      </c>
      <c r="F2" s="33">
        <v>1</v>
      </c>
      <c r="G2">
        <v>1</v>
      </c>
      <c r="H2">
        <v>1</v>
      </c>
      <c r="I2">
        <v>2</v>
      </c>
      <c r="J2">
        <v>2</v>
      </c>
      <c r="K2">
        <v>11.5</v>
      </c>
      <c r="L2">
        <v>12</v>
      </c>
      <c r="M2">
        <v>12</v>
      </c>
      <c r="N2">
        <v>12</v>
      </c>
      <c r="O2">
        <v>12</v>
      </c>
      <c r="P2">
        <v>12</v>
      </c>
      <c r="Q2">
        <v>12</v>
      </c>
      <c r="R2">
        <v>12</v>
      </c>
      <c r="S2">
        <v>12</v>
      </c>
      <c r="T2">
        <v>12</v>
      </c>
      <c r="U2">
        <v>12</v>
      </c>
    </row>
    <row r="3" spans="1:21" x14ac:dyDescent="0.2">
      <c r="A3" t="str">
        <v>Jane Smith</v>
      </c>
      <c r="B3" s="33">
        <v>2</v>
      </c>
      <c r="C3" s="33">
        <v>2</v>
      </c>
      <c r="D3" s="33">
        <v>2</v>
      </c>
      <c r="E3" s="33">
        <v>2</v>
      </c>
      <c r="F3" s="33">
        <v>1</v>
      </c>
      <c r="G3">
        <v>1</v>
      </c>
      <c r="H3">
        <v>1</v>
      </c>
      <c r="I3">
        <v>1</v>
      </c>
      <c r="J3">
        <v>1</v>
      </c>
      <c r="K3">
        <v>11</v>
      </c>
      <c r="L3">
        <v>12</v>
      </c>
      <c r="M3">
        <v>12</v>
      </c>
      <c r="N3">
        <v>12</v>
      </c>
      <c r="O3">
        <v>12</v>
      </c>
      <c r="P3">
        <v>12</v>
      </c>
      <c r="Q3">
        <v>12</v>
      </c>
      <c r="R3">
        <v>12</v>
      </c>
      <c r="S3">
        <v>12</v>
      </c>
      <c r="T3">
        <v>12</v>
      </c>
      <c r="U3">
        <v>12</v>
      </c>
    </row>
    <row r="4" spans="1:21" x14ac:dyDescent="0.2">
      <c r="A4" t="str">
        <v>Bobby Turner</v>
      </c>
      <c r="B4" s="33">
        <v>4</v>
      </c>
      <c r="C4" s="33">
        <v>1</v>
      </c>
      <c r="D4" s="33">
        <v>1</v>
      </c>
      <c r="E4" s="33">
        <v>1</v>
      </c>
      <c r="F4" s="33">
        <v>1</v>
      </c>
      <c r="G4">
        <v>1</v>
      </c>
      <c r="H4">
        <v>1</v>
      </c>
      <c r="I4">
        <v>1</v>
      </c>
      <c r="J4">
        <v>1</v>
      </c>
      <c r="K4">
        <v>11</v>
      </c>
      <c r="L4">
        <v>12</v>
      </c>
      <c r="M4">
        <v>12</v>
      </c>
      <c r="N4">
        <v>12</v>
      </c>
      <c r="O4">
        <v>12</v>
      </c>
      <c r="P4">
        <v>12</v>
      </c>
      <c r="Q4">
        <v>12</v>
      </c>
      <c r="R4">
        <v>12</v>
      </c>
      <c r="S4">
        <v>12</v>
      </c>
      <c r="T4">
        <v>12</v>
      </c>
      <c r="U4">
        <v>12</v>
      </c>
    </row>
    <row r="5" spans="1:21" x14ac:dyDescent="0.2">
      <c r="A5" t="str">
        <v>Lily Fernandez</v>
      </c>
      <c r="B5" s="33">
        <v>3.6000000000000014</v>
      </c>
      <c r="C5" s="33">
        <v>1.6000000000000014</v>
      </c>
      <c r="D5" s="33">
        <v>1.6000000000000014</v>
      </c>
      <c r="E5" s="33">
        <v>1.6000000000000014</v>
      </c>
      <c r="F5" s="33">
        <v>1.1000000000000014</v>
      </c>
      <c r="G5">
        <v>1.6000000000000014</v>
      </c>
      <c r="H5">
        <v>1.1000000000000014</v>
      </c>
      <c r="I5">
        <v>1.6000000000000014</v>
      </c>
      <c r="J5">
        <v>1.6000000000000014</v>
      </c>
      <c r="K5">
        <v>9.1000000000000014</v>
      </c>
      <c r="L5">
        <v>9.6000000000000014</v>
      </c>
      <c r="M5">
        <v>9.6000000000000014</v>
      </c>
      <c r="N5">
        <v>9.6000000000000014</v>
      </c>
      <c r="O5">
        <v>9.6000000000000014</v>
      </c>
      <c r="P5">
        <v>9.6000000000000014</v>
      </c>
      <c r="Q5">
        <v>9.6000000000000014</v>
      </c>
      <c r="R5">
        <v>9.6000000000000014</v>
      </c>
      <c r="S5">
        <v>9.6000000000000014</v>
      </c>
      <c r="T5">
        <v>9.6000000000000014</v>
      </c>
      <c r="U5">
        <v>9.6000000000000014</v>
      </c>
    </row>
    <row r="6" spans="1:21" x14ac:dyDescent="0.2">
      <c r="A6" t="str">
        <v>Mark Overbooked</v>
      </c>
      <c r="B6" s="33">
        <v>1</v>
      </c>
      <c r="C6" s="33">
        <v>1</v>
      </c>
      <c r="D6" s="33">
        <v>1</v>
      </c>
      <c r="E6" s="33">
        <v>1</v>
      </c>
      <c r="F6" s="33">
        <v>0</v>
      </c>
      <c r="G6">
        <v>0</v>
      </c>
      <c r="H6">
        <v>-1</v>
      </c>
      <c r="I6">
        <v>1</v>
      </c>
      <c r="J6">
        <v>1</v>
      </c>
      <c r="K6">
        <v>12</v>
      </c>
      <c r="L6">
        <v>12</v>
      </c>
      <c r="M6">
        <v>12</v>
      </c>
      <c r="N6">
        <v>12</v>
      </c>
      <c r="O6">
        <v>12</v>
      </c>
      <c r="P6">
        <v>12</v>
      </c>
      <c r="Q6">
        <v>12</v>
      </c>
      <c r="R6">
        <v>12</v>
      </c>
      <c r="S6">
        <v>12</v>
      </c>
      <c r="T6">
        <v>12</v>
      </c>
      <c r="U6">
        <v>12</v>
      </c>
    </row>
    <row r="7" spans="1:21" x14ac:dyDescent="0.2">
      <c r="A7" t="str">
        <v>Julianna Bright</v>
      </c>
      <c r="B7" s="33">
        <v>3</v>
      </c>
      <c r="C7" s="33">
        <v>1</v>
      </c>
      <c r="D7" s="33">
        <v>1</v>
      </c>
      <c r="E7" s="33">
        <v>1</v>
      </c>
      <c r="F7" s="33">
        <v>2</v>
      </c>
      <c r="G7">
        <v>1</v>
      </c>
      <c r="H7">
        <v>1</v>
      </c>
      <c r="I7">
        <v>3</v>
      </c>
      <c r="J7">
        <v>6</v>
      </c>
      <c r="K7">
        <v>6</v>
      </c>
      <c r="L7">
        <v>6</v>
      </c>
      <c r="M7">
        <v>6</v>
      </c>
      <c r="N7">
        <v>6</v>
      </c>
      <c r="O7">
        <v>6</v>
      </c>
      <c r="P7">
        <v>6</v>
      </c>
      <c r="Q7">
        <v>6</v>
      </c>
      <c r="R7">
        <v>6</v>
      </c>
      <c r="S7">
        <v>6</v>
      </c>
      <c r="T7">
        <v>6</v>
      </c>
      <c r="U7">
        <v>6</v>
      </c>
    </row>
    <row r="8" spans="1:21" x14ac:dyDescent="0.2">
      <c r="A8" t="str">
        <v>Paul Greenfield</v>
      </c>
      <c r="B8" s="33">
        <v>3</v>
      </c>
      <c r="C8" s="33">
        <v>1</v>
      </c>
      <c r="D8" s="33">
        <v>1</v>
      </c>
      <c r="E8" s="33">
        <v>1</v>
      </c>
      <c r="F8" s="33">
        <v>1</v>
      </c>
      <c r="G8">
        <v>2</v>
      </c>
      <c r="H8">
        <v>2</v>
      </c>
      <c r="I8">
        <v>2</v>
      </c>
      <c r="J8">
        <v>2</v>
      </c>
      <c r="K8">
        <v>11</v>
      </c>
      <c r="L8">
        <v>12</v>
      </c>
      <c r="M8">
        <v>12</v>
      </c>
      <c r="N8">
        <v>12</v>
      </c>
      <c r="O8">
        <v>12</v>
      </c>
      <c r="P8">
        <v>12</v>
      </c>
      <c r="Q8">
        <v>12</v>
      </c>
      <c r="R8">
        <v>12</v>
      </c>
      <c r="S8">
        <v>12</v>
      </c>
      <c r="T8">
        <v>12</v>
      </c>
      <c r="U8">
        <v>12</v>
      </c>
    </row>
    <row r="9" spans="1:21" x14ac:dyDescent="0.2">
      <c r="A9" t="str">
        <v>Emily Busy</v>
      </c>
      <c r="B9" s="33">
        <v>2</v>
      </c>
      <c r="C9" s="33">
        <v>2</v>
      </c>
      <c r="D9" s="33">
        <v>2</v>
      </c>
      <c r="E9" s="33">
        <v>2</v>
      </c>
      <c r="F9" s="33">
        <v>1.5</v>
      </c>
      <c r="G9">
        <v>0</v>
      </c>
      <c r="H9">
        <v>-1</v>
      </c>
      <c r="I9">
        <v>0</v>
      </c>
      <c r="J9">
        <v>0</v>
      </c>
      <c r="K9">
        <v>11</v>
      </c>
      <c r="L9">
        <v>12</v>
      </c>
      <c r="M9">
        <v>12</v>
      </c>
      <c r="N9">
        <v>12</v>
      </c>
      <c r="O9">
        <v>12</v>
      </c>
      <c r="P9">
        <v>12</v>
      </c>
      <c r="Q9">
        <v>12</v>
      </c>
      <c r="R9">
        <v>12</v>
      </c>
      <c r="S9">
        <v>12</v>
      </c>
      <c r="T9">
        <v>12</v>
      </c>
      <c r="U9">
        <v>12</v>
      </c>
    </row>
    <row r="10" spans="1:21" x14ac:dyDescent="0.2">
      <c r="A10" t="str">
        <v>Samuel Ridges</v>
      </c>
      <c r="B10" s="33">
        <v>5</v>
      </c>
      <c r="C10" s="33">
        <v>1</v>
      </c>
      <c r="D10" s="33">
        <v>1</v>
      </c>
      <c r="E10" s="33">
        <v>1</v>
      </c>
      <c r="F10" s="33">
        <v>0.10000000000000009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">
      <c r="A11" t="str">
        <v>Laura Hills</v>
      </c>
      <c r="B11" s="33">
        <v>0</v>
      </c>
      <c r="C11" s="33">
        <v>0</v>
      </c>
      <c r="D11" s="33">
        <v>0</v>
      </c>
      <c r="E11" s="33">
        <v>0</v>
      </c>
      <c r="F11" s="33">
        <v>0</v>
      </c>
      <c r="G11">
        <v>2.0999999999999996</v>
      </c>
      <c r="H11">
        <v>2</v>
      </c>
      <c r="I11">
        <v>2</v>
      </c>
      <c r="J11">
        <v>2</v>
      </c>
      <c r="K11">
        <v>11</v>
      </c>
      <c r="L11">
        <v>12</v>
      </c>
      <c r="M11">
        <v>12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12</v>
      </c>
      <c r="T11">
        <v>12</v>
      </c>
      <c r="U11">
        <v>12</v>
      </c>
    </row>
    <row r="16" spans="1:21" x14ac:dyDescent="0.2">
      <c r="A16" s="1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f75f480-7803-4ee9-bb54-84d0635fdbe7}" enabled="1" method="Privilege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Year view</vt:lpstr>
      <vt:lpstr>Project view</vt:lpstr>
      <vt:lpstr>Personnel view</vt:lpstr>
      <vt:lpstr>Project List</vt:lpstr>
      <vt:lpstr>Personnel updates</vt:lpstr>
      <vt:lpstr>Error checks</vt:lpstr>
      <vt:lpstr>Database</vt:lpstr>
      <vt:lpstr>Personnel List</vt:lpstr>
      <vt:lpstr>Personnel Work Regime</vt:lpstr>
      <vt:lpstr>AvailablePMs</vt:lpstr>
      <vt:lpstr>'Personnel view'!PersonnelListDropDown</vt:lpstr>
      <vt:lpstr>'Project view'!PersonnelListDropDown</vt:lpstr>
      <vt:lpstr>'Year view'!PersonnelListDropDown</vt:lpstr>
      <vt:lpstr>PersonnelListDropDown</vt:lpstr>
      <vt:lpstr>'Personnel view'!ProjectListDropDown</vt:lpstr>
      <vt:lpstr>'Project view'!ProjectListDropDown</vt:lpstr>
      <vt:lpstr>'Year view'!ProjectListDropDown</vt:lpstr>
      <vt:lpstr>ProjectListDropDown</vt:lpstr>
    </vt:vector>
  </TitlesOfParts>
  <Manager/>
  <Company>LMS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mtou</dc:creator>
  <cp:keywords>C_Unrestricted</cp:keywords>
  <dc:description/>
  <cp:lastModifiedBy>Ramos Sanchez, Tomas (DI SW PLM STS ST&amp;IN TIO)</cp:lastModifiedBy>
  <cp:revision/>
  <dcterms:created xsi:type="dcterms:W3CDTF">2004-04-09T08:40:36Z</dcterms:created>
  <dcterms:modified xsi:type="dcterms:W3CDTF">2025-06-02T14:31:23Z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MSIP_Label_6f75f480-7803-4ee9-bb54-84d0635fdbe7_Enabled">
    <vt:lpwstr>true</vt:lpwstr>
  </property>
  <property fmtid="{D5CDD505-2E9C-101B-9397-08002B2CF9AE}" pid="4" name="MSIP_Label_6f75f480-7803-4ee9-bb54-84d0635fdbe7_SetDate">
    <vt:lpwstr>2023-09-18T12:29:14Z</vt:lpwstr>
  </property>
  <property fmtid="{D5CDD505-2E9C-101B-9397-08002B2CF9AE}" pid="5" name="MSIP_Label_6f75f480-7803-4ee9-bb54-84d0635fdbe7_Method">
    <vt:lpwstr>Privileged</vt:lpwstr>
  </property>
  <property fmtid="{D5CDD505-2E9C-101B-9397-08002B2CF9AE}" pid="6" name="MSIP_Label_6f75f480-7803-4ee9-bb54-84d0635fdbe7_Name">
    <vt:lpwstr>unrestricted</vt:lpwstr>
  </property>
  <property fmtid="{D5CDD505-2E9C-101B-9397-08002B2CF9AE}" pid="7" name="MSIP_Label_6f75f480-7803-4ee9-bb54-84d0635fdbe7_SiteId">
    <vt:lpwstr>38ae3bcd-9579-4fd4-adda-b42e1495d55a</vt:lpwstr>
  </property>
  <property fmtid="{D5CDD505-2E9C-101B-9397-08002B2CF9AE}" pid="8" name="MSIP_Label_6f75f480-7803-4ee9-bb54-84d0635fdbe7_ActionId">
    <vt:lpwstr>0585fd83-14bf-436e-9073-cb05264cc086</vt:lpwstr>
  </property>
  <property fmtid="{D5CDD505-2E9C-101B-9397-08002B2CF9AE}" pid="9" name="MSIP_Label_6f75f480-7803-4ee9-bb54-84d0635fdbe7_ContentBits">
    <vt:lpwstr>0</vt:lpwstr>
  </property>
  <property fmtid="{D5CDD505-2E9C-101B-9397-08002B2CF9AE}" pid="10" name="Document_Confidentiality">
    <vt:lpwstr>Unrestricted</vt:lpwstr>
  </property>
</Properties>
</file>